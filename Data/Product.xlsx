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5"/>
    <sheet state="visible" name="Sales" sheetId="2" r:id="rId6"/>
    <sheet state="visible" name="Purchases" sheetId="3" r:id="rId7"/>
    <sheet state="visible" name="SettingGroup" sheetId="4" r:id="rId8"/>
    <sheet state="visible" name="SettingUser" sheetId="5" r:id="rId9"/>
    <sheet state="visible" name="Filters" sheetId="6" r:id="rId10"/>
    <sheet state="visible" name="Dashboard" sheetId="7" r:id="rId11"/>
  </sheets>
  <definedNames>
    <definedName hidden="1" localSheetId="1" name="_xlnm._FilterDatabase">Sales!$A$1:$E$1</definedName>
    <definedName hidden="1" localSheetId="2" name="_xlnm._FilterDatabase">Purchases!$A$1:$E$1</definedName>
  </definedNames>
  <calcPr/>
</workbook>
</file>

<file path=xl/sharedStrings.xml><?xml version="1.0" encoding="utf-8"?>
<sst xmlns="http://schemas.openxmlformats.org/spreadsheetml/2006/main" count="958" uniqueCount="291">
  <si>
    <t>วันที่/เวลา</t>
  </si>
  <si>
    <t>รหัสสินค้า</t>
  </si>
  <si>
    <t>รหัสหมวดหมู่</t>
  </si>
  <si>
    <t>จำนวน</t>
  </si>
  <si>
    <t>ผู้ทำรายการ</t>
  </si>
  <si>
    <t>หมายเหตุ/รายละเอียด</t>
  </si>
  <si>
    <t>หมวดหมู่</t>
  </si>
  <si>
    <t>b7392108</t>
  </si>
  <si>
    <t>อะไหล่</t>
  </si>
  <si>
    <t>b453465a</t>
  </si>
  <si>
    <t>ชื่อสินค้า</t>
  </si>
  <si>
    <t>0226046501</t>
  </si>
  <si>
    <t>ยศศักดิ์</t>
  </si>
  <si>
    <t>อะไหล่เวียน</t>
  </si>
  <si>
    <t>022604AT01</t>
  </si>
  <si>
    <t>0226142101</t>
  </si>
  <si>
    <t>ไฟล์</t>
  </si>
  <si>
    <t>022614BH01</t>
  </si>
  <si>
    <t>022614BD02</t>
  </si>
  <si>
    <t>สต๊อกเริ่มต้น</t>
  </si>
  <si>
    <t>022614BD01</t>
  </si>
  <si>
    <t>สต๊อกขั้นต่ำ</t>
  </si>
  <si>
    <t>สต๊อกสูงสุด</t>
  </si>
  <si>
    <t>เครื่องเกาหลี</t>
  </si>
  <si>
    <t>0226141304</t>
  </si>
  <si>
    <t>VS_สต๊อกปัจจุบัน</t>
  </si>
  <si>
    <t>0226141601</t>
  </si>
  <si>
    <t>VS_สถานะสต๊อก</t>
  </si>
  <si>
    <t>K49</t>
  </si>
  <si>
    <t>R002701291</t>
  </si>
  <si>
    <t>สายพานบน</t>
  </si>
  <si>
    <t>ฝาปิดน้ำมันตัวครอบวงแหวน 5 นิ้ว</t>
  </si>
  <si>
    <t>K44</t>
  </si>
  <si>
    <t>0226142201</t>
  </si>
  <si>
    <t>Product_Files_/R002701291.ไฟล์.025936.pdf</t>
  </si>
  <si>
    <t>0226045501</t>
  </si>
  <si>
    <t>15/12/66</t>
  </si>
  <si>
    <t>ใส่เครื่อง65ล่าง</t>
  </si>
  <si>
    <t>K32</t>
  </si>
  <si>
    <t>ใส่k56</t>
  </si>
  <si>
    <t>0226147501</t>
  </si>
  <si>
    <t>ใส่k49</t>
  </si>
  <si>
    <t>K26 ใส่เส้นใหม่</t>
  </si>
  <si>
    <t>K56  k47  k44</t>
  </si>
  <si>
    <t>0226142401</t>
  </si>
  <si>
    <t>ใส่k49 วันที่ 9/1/67</t>
  </si>
  <si>
    <t>ใส่k23  22  21</t>
  </si>
  <si>
    <t>สต๊อคหน้างานอยู่กับช่างเทคนิค</t>
  </si>
  <si>
    <t>3/2/67</t>
  </si>
  <si>
    <t>ใส่k5</t>
  </si>
  <si>
    <t>ใส่k3</t>
  </si>
  <si>
    <t>ใส่k29</t>
  </si>
  <si>
    <t>ใส่k55</t>
  </si>
  <si>
    <t>ใส่W6</t>
  </si>
  <si>
    <t>ใส่k31</t>
  </si>
  <si>
    <t>ใส่k33</t>
  </si>
  <si>
    <t>ใส่k54</t>
  </si>
  <si>
    <t>ใส่k44</t>
  </si>
  <si>
    <t>ใส่k34</t>
  </si>
  <si>
    <t>R002701363</t>
  </si>
  <si>
    <t>ใส่ k23</t>
  </si>
  <si>
    <t>ฝาปิดน้ำมันตัวครอบวงแหวน 6.5 นิ้ว T22-23</t>
  </si>
  <si>
    <t>ของเก่าk49</t>
  </si>
  <si>
    <t>Product_Files_/R002701363.ไฟล์.030058.5 นิ้ว T22-23 (ใหม่).pdf</t>
  </si>
  <si>
    <t>ใสk23</t>
  </si>
  <si>
    <t>2028100301</t>
  </si>
  <si>
    <t>ใส่56</t>
  </si>
  <si>
    <t>ใส่k28</t>
  </si>
  <si>
    <t>ใส่ k54</t>
  </si>
  <si>
    <t>0226147701</t>
  </si>
  <si>
    <t>ใส่k47</t>
  </si>
  <si>
    <t>0226042601</t>
  </si>
  <si>
    <t>ใส่k1</t>
  </si>
  <si>
    <t>R002801741</t>
  </si>
  <si>
    <t>ฝาปิดน้ำมัน 2F1 ชุดวงแหวนใหญ่</t>
  </si>
  <si>
    <t>Product_Files_/R002801741.ไฟล์.030732.pdf</t>
  </si>
  <si>
    <t>ใสw6</t>
  </si>
  <si>
    <t>0226045502</t>
  </si>
  <si>
    <t>ใส่k12</t>
  </si>
  <si>
    <t>พนักงาน 1</t>
  </si>
  <si>
    <t>ตัวครอบวงแหวน 8นิ้ว</t>
  </si>
  <si>
    <t>ตัวครอบวงแหวน 10 นิ้ว</t>
  </si>
  <si>
    <t>พนักงาน 3</t>
  </si>
  <si>
    <t>11</t>
  </si>
  <si>
    <t>ใส่k26</t>
  </si>
  <si>
    <t>R002703120</t>
  </si>
  <si>
    <t>Z492965001</t>
  </si>
  <si>
    <t>M005406001</t>
  </si>
  <si>
    <t>ตัวครอบวงแหวน 5.5 นิ้ว (T35,T36) สั่งจีน สต๊อกคลัง</t>
  </si>
  <si>
    <t>0</t>
  </si>
  <si>
    <t>Product_Files_/M005406001.ไฟล์.031637.5 นิ้ว 35-36.pdf</t>
  </si>
  <si>
    <t>1111111111</t>
  </si>
  <si>
    <t>R002703033</t>
  </si>
  <si>
    <t>ใส่k3-5 21-23</t>
  </si>
  <si>
    <t>4</t>
  </si>
  <si>
    <t>2</t>
  </si>
  <si>
    <t>ใส่k21</t>
  </si>
  <si>
    <t>5</t>
  </si>
  <si>
    <t>6</t>
  </si>
  <si>
    <t>7</t>
  </si>
  <si>
    <t>8</t>
  </si>
  <si>
    <t>ใส่k 3ถึง5</t>
  </si>
  <si>
    <t>9</t>
  </si>
  <si>
    <t>10</t>
  </si>
  <si>
    <t>12</t>
  </si>
  <si>
    <t>ใส่k</t>
  </si>
  <si>
    <t>13</t>
  </si>
  <si>
    <t>14</t>
  </si>
  <si>
    <t>15</t>
  </si>
  <si>
    <t>ตัวครอบวงแหวน 4 นิ้ว สั่งจีน สต๊อกคลัง</t>
  </si>
  <si>
    <t>16</t>
  </si>
  <si>
    <t>ใส่k3  4  5</t>
  </si>
  <si>
    <t>01</t>
  </si>
  <si>
    <t>02</t>
  </si>
  <si>
    <t>03</t>
  </si>
  <si>
    <t>ใส่k45</t>
  </si>
  <si>
    <t>04</t>
  </si>
  <si>
    <t>05</t>
  </si>
  <si>
    <t>ใส่k23</t>
  </si>
  <si>
    <t>07</t>
  </si>
  <si>
    <t>ใส่k 3 ,4</t>
  </si>
  <si>
    <t>08</t>
  </si>
  <si>
    <t>09</t>
  </si>
  <si>
    <t>ใส่k46</t>
  </si>
  <si>
    <t>010</t>
  </si>
  <si>
    <t>011</t>
  </si>
  <si>
    <t>ID</t>
  </si>
  <si>
    <t>Z470002078</t>
  </si>
  <si>
    <t>ใส่ k57</t>
  </si>
  <si>
    <t>ฝาปิดน้ำมัน T1-4,9-10</t>
  </si>
  <si>
    <t>012</t>
  </si>
  <si>
    <t>UserName</t>
  </si>
  <si>
    <t>ใส่k59</t>
  </si>
  <si>
    <t>013</t>
  </si>
  <si>
    <t>R002703032</t>
  </si>
  <si>
    <t>ใส่k55 วันที่13/7/67</t>
  </si>
  <si>
    <t>014</t>
  </si>
  <si>
    <t>ใส่ k54  15/7/67</t>
  </si>
  <si>
    <t>ใส่k22</t>
  </si>
  <si>
    <t>ใส่k27</t>
  </si>
  <si>
    <t>015</t>
  </si>
  <si>
    <t>K3  k4</t>
  </si>
  <si>
    <t>d1edb8ee</t>
  </si>
  <si>
    <t>R002892192</t>
  </si>
  <si>
    <t>เหล็กประกบเพลาขับด้าย 4 นิ้ว</t>
  </si>
  <si>
    <t>016</t>
  </si>
  <si>
    <t>017</t>
  </si>
  <si>
    <t>031</t>
  </si>
  <si>
    <t>db4d3990</t>
  </si>
  <si>
    <t>018</t>
  </si>
  <si>
    <t>พนักงาน 2</t>
  </si>
  <si>
    <t>T22</t>
  </si>
  <si>
    <t>019</t>
  </si>
  <si>
    <t>020</t>
  </si>
  <si>
    <t>R002819018</t>
  </si>
  <si>
    <t>T13,14</t>
  </si>
  <si>
    <t>1f13629c</t>
  </si>
  <si>
    <t>021</t>
  </si>
  <si>
    <t>T14</t>
  </si>
  <si>
    <t>022</t>
  </si>
  <si>
    <t>T35</t>
  </si>
  <si>
    <t>02÷</t>
  </si>
  <si>
    <t>025</t>
  </si>
  <si>
    <t>PMT61</t>
  </si>
  <si>
    <t>026</t>
  </si>
  <si>
    <t>027</t>
  </si>
  <si>
    <t>028</t>
  </si>
  <si>
    <t>029</t>
  </si>
  <si>
    <t>T61</t>
  </si>
  <si>
    <t>030</t>
  </si>
  <si>
    <t>R002703123</t>
  </si>
  <si>
    <t>T7</t>
  </si>
  <si>
    <t>ฝาปิดน้ำมันตัวครอบวงแหวน T17</t>
  </si>
  <si>
    <t>T60</t>
  </si>
  <si>
    <t>T63</t>
  </si>
  <si>
    <t>032</t>
  </si>
  <si>
    <t>T34</t>
  </si>
  <si>
    <t>034</t>
  </si>
  <si>
    <t>035</t>
  </si>
  <si>
    <t>T67</t>
  </si>
  <si>
    <t>036</t>
  </si>
  <si>
    <t>037</t>
  </si>
  <si>
    <t>038</t>
  </si>
  <si>
    <t>039</t>
  </si>
  <si>
    <t>T66</t>
  </si>
  <si>
    <t>040</t>
  </si>
  <si>
    <t>041</t>
  </si>
  <si>
    <t>042</t>
  </si>
  <si>
    <t>043</t>
  </si>
  <si>
    <t>044</t>
  </si>
  <si>
    <t>ตัวครอบวงแหวน 3.5 นิ้ว T59-60</t>
  </si>
  <si>
    <t>T3</t>
  </si>
  <si>
    <t>045</t>
  </si>
  <si>
    <t>T6</t>
  </si>
  <si>
    <t>046</t>
  </si>
  <si>
    <t>T57</t>
  </si>
  <si>
    <t>T8</t>
  </si>
  <si>
    <t>T58</t>
  </si>
  <si>
    <t>M002702020</t>
  </si>
  <si>
    <t>ตัวครอบวงแหวน 6 นิ้ว T11,15</t>
  </si>
  <si>
    <t>T51</t>
  </si>
  <si>
    <t>T29</t>
  </si>
  <si>
    <t>T000101019</t>
  </si>
  <si>
    <t>พลูเล่ย์สายพาน T3-T9-T10(แบบผ่า)</t>
  </si>
  <si>
    <t>T100300003</t>
  </si>
  <si>
    <t>แกนล้อดึงสายพาน 2F1 กลางเครื่อง มีหน้าแปลน</t>
  </si>
  <si>
    <t>T100300002</t>
  </si>
  <si>
    <t>แกนล้อตึงสายพาน 2F1 ชุดบน มีหน้าแปลน</t>
  </si>
  <si>
    <t>T100300004</t>
  </si>
  <si>
    <t>แกนล้อดึงสายพาน 2F1 กลางเครื่อง ไม่มีหน้าแปลน</t>
  </si>
  <si>
    <t>ล้อดึงสายพาน(วงแหวน) สต๊อกคลัง</t>
  </si>
  <si>
    <t>สถานะสต๊อก</t>
  </si>
  <si>
    <t>นำออกรายงาน</t>
  </si>
  <si>
    <t>สลักล้อดึงสายพาน(วงแหวน)</t>
  </si>
  <si>
    <t>7b07473b</t>
  </si>
  <si>
    <t>สต๊อกเพียงพอ,สต๊อกใกล้หมด,สต๊อกหมด,สต๊อกเกินกำหนด</t>
  </si>
  <si>
    <t>ตัวครอบวงแหวน 10 นิ้ว ( T50,51 )</t>
  </si>
  <si>
    <t>ลูกกลิ้งทับใย 4"</t>
  </si>
  <si>
    <t>ตัวครอบวงแหว 5"</t>
  </si>
  <si>
    <t>1</t>
  </si>
  <si>
    <t>ต้วครอบวงแหวน 4 1/2" ( T24 )</t>
  </si>
  <si>
    <t>ตัวครอบวงแหวน 6 1/2" ( T22,23 )</t>
  </si>
  <si>
    <t>สรุปสถานะสต๊อก</t>
  </si>
  <si>
    <t>วันที่</t>
  </si>
  <si>
    <t>3</t>
  </si>
  <si>
    <t>ต้วครอบวงแหวน 7" (T21)</t>
  </si>
  <si>
    <t>สต๊อกเพียงพอ</t>
  </si>
  <si>
    <t>ต้วครอบวงแหวน 10" ( T18 )</t>
  </si>
  <si>
    <t>สต๊อกใกล้หมด</t>
  </si>
  <si>
    <t>วงแหวน 3"1/2 ( T59,60 )</t>
  </si>
  <si>
    <t>สต๊อกหมด</t>
  </si>
  <si>
    <t>สต๊อกเกินกำหนด</t>
  </si>
  <si>
    <t>วงแหวน 4" ( T3,9,34 )</t>
  </si>
  <si>
    <t>วงแหวน 4"1/2 (T25 )</t>
  </si>
  <si>
    <t>วงแหวน 5" ( T6,7,8,13,14 )</t>
  </si>
  <si>
    <t>วงแหวน 5"1/2 (T35,36,57,58)</t>
  </si>
  <si>
    <t>วงแหวน 5"1/2 (2f1 )</t>
  </si>
  <si>
    <t>วงแหวน 6" ( T11,15,43,44,45 )</t>
  </si>
  <si>
    <t>วงแหวน 6"1/2 (  T22,23 )</t>
  </si>
  <si>
    <t>วงแหวน 7" ( T21 )</t>
  </si>
  <si>
    <t>วงแหวน 8" ( T46,47,48,49,63,64 )</t>
  </si>
  <si>
    <t>วงแหวน 10" ( 18,50,51 )</t>
  </si>
  <si>
    <t>แกนเฟือง A (  30 mm ×126 mm</t>
  </si>
  <si>
    <t>แกนเฟือง. BC (30 mm ×160  mm )</t>
  </si>
  <si>
    <t>แกนเฟือง BC ( 30mm ×190 mm)</t>
  </si>
  <si>
    <t>แกนเฟือง 90 ฟัน ( 30mm×160mm )</t>
  </si>
  <si>
    <t>แกนเฟืองเกลียวนอก</t>
  </si>
  <si>
    <t>06</t>
  </si>
  <si>
    <t>แกนเฟืองเกลียวใน</t>
  </si>
  <si>
    <t>แกนเฟือง B ( T24,25 )</t>
  </si>
  <si>
    <t>แกนเฟือง 120 ฟัน ( 6" )</t>
  </si>
  <si>
    <t>แกนเฟือง. B ( 6" )</t>
  </si>
  <si>
    <t>แกบพูลเลย์หัวเครื่อง(  2f1 ) ชุดบน</t>
  </si>
  <si>
    <t>แกนพลูเลย์หัวเครื่อง ( 2f1 ) ล่าง</t>
  </si>
  <si>
    <t>แกนเฟือง A  ( 2f1 T37,38 )</t>
  </si>
  <si>
    <t>แกนเฟือง BC ( 2f1 T37,38 )</t>
  </si>
  <si>
    <t>เฟืองท้ายเพลาขับด้าย 30 ฟัน</t>
  </si>
  <si>
    <t>เฟีองท้ายเพลาขับด้าย 30 ( ขนาดเล็ก)</t>
  </si>
  <si>
    <t>เฟืองเพลาขับด้าย 34 ฟัน</t>
  </si>
  <si>
    <t>เฟืองเพลาขับด้าย 26 ฟัน</t>
  </si>
  <si>
    <t>เฟืองขับเพลาล่าง 34  ฟัน ( T17 )</t>
  </si>
  <si>
    <t>เฟืองชุเปอร์ลีน 30 ฟัน ( ขนาดเล็ก )</t>
  </si>
  <si>
    <t>เฟืองชุบเปอร์ลีน ( ขนาดใหญ่ )</t>
  </si>
  <si>
    <t>เฟืองชุบเปอร์ลีน 40 ฟัน</t>
  </si>
  <si>
    <t>เฟิองชุบเปอร์ลีน 47 ฟัน</t>
  </si>
  <si>
    <t>เฟืองชุบเปอร์ลีน 34 ฟัน ( เพลา 45 mm )</t>
  </si>
  <si>
    <t>024</t>
  </si>
  <si>
    <t>เฟืองชุบเปอร์ลีน 34 ฟัน ( เพลา 25 mm )</t>
  </si>
  <si>
    <t>ตุ๊กตาเฟือง 70 ฟัน</t>
  </si>
  <si>
    <t>ตุ๊กตาเฟืองเกลียวนอก -ใน</t>
  </si>
  <si>
    <t>ตุ๊กตาเฟือง A</t>
  </si>
  <si>
    <t>ตุ๊กตาเฟืองชุบเปอร์ลีนเครือง 6"</t>
  </si>
  <si>
    <t>ตุ๊กตาเฟืองชุบเปอร์ลีน T17,18</t>
  </si>
  <si>
    <t>ตุ๊กตาเฟือง X ( เครื่อง 6" )</t>
  </si>
  <si>
    <t>ตุ๊กตาเพลาล่างท้ายเครื่อง ( 4",5" )</t>
  </si>
  <si>
    <t>ตุ๊กเพลาล่างเฟืองชุบเปอร์ลีน</t>
  </si>
  <si>
    <t>ตุ๊กตาเพลาล่างกลางเครื่อง ( 40 mm )</t>
  </si>
  <si>
    <t>ตุ๊กตาโยกเฟืองด้าน L   ( T9,13,14,29,30 )</t>
  </si>
  <si>
    <t>ตุ๊กตาโยกเฟืองด้าน R  ( T9,13,14,29,30 )</t>
  </si>
  <si>
    <t>ตุ๊กตาโยกเฟือง ( T3,6,7,8,46-51 )</t>
  </si>
  <si>
    <t>ตุ๊กตาโยกเฟือง 6" ( T11,15,43-45 )</t>
  </si>
  <si>
    <t>ตุ๊กตาโยกเฟืองด้าน L  ( 4"1/2,6"1/2 , 7" )</t>
  </si>
  <si>
    <t>ตุ๊กตาโยกเฟืองด้น R ( 4"1/2 ; 6"1/2 , 7" )</t>
  </si>
  <si>
    <t>ตุ๊กตาเพลาขับด้ายแบบผ่า ( 4",5",8",10" )</t>
  </si>
  <si>
    <t>ตุ๊กตาเพลาขับด้ายแบบผ่า ( 4"1/2 ,6"1/2 , 7" )</t>
  </si>
  <si>
    <t>ตุ๊กตาเพลาขับด้ายแบบผ่า 6"</t>
  </si>
  <si>
    <t>ตุ๊กตาล้อตึงสายพานเครื่องวงแหวน</t>
  </si>
  <si>
    <t>วงแหวน 5"1/2 ( 2f1 )</t>
  </si>
  <si>
    <t>ล้อตึงสายพานล่าง ( 2f1 )</t>
  </si>
  <si>
    <t>20</t>
  </si>
  <si>
    <t>วงแหวน 5"1/2 (T61,62)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</si>
</sst>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Calibri"/>
      <scheme val="minor"/>
    </font>
    <font>
      <b/>
      <color theme="1"/>
      <name val="Calibri"/>
    </font>
    <font>
      <color theme="1"/>
      <name val="Calibri"/>
    </font>
    <font>
      <b/>
      <sz val="10.0"/>
      <color theme="1"/>
      <name val="Arial"/>
    </font>
    <font>
      <color theme="1"/>
      <name val="Calibri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2" fontId="3" numFmtId="49" xfId="0" applyFill="1" applyFont="1" applyNumberFormat="1"/>
    <xf borderId="0" fillId="0" fontId="2" numFmtId="164" xfId="0" applyFont="1" applyNumberFormat="1"/>
    <xf borderId="0" fillId="0" fontId="4" numFmtId="0" xfId="0" applyAlignment="1" applyFont="1">
      <alignment readingOrder="0"/>
    </xf>
    <xf borderId="0" fillId="2" fontId="1" numFmtId="49" xfId="0" applyFill="1" applyFont="1" applyNumberFormat="1"/>
    <xf quotePrefix="1" borderId="0" fillId="0" fontId="2" numFmtId="0" xfId="0" applyFont="1"/>
    <xf borderId="0" fillId="2" fontId="1" numFmtId="49" xfId="0" applyAlignment="1" applyFill="1" applyFont="1" applyNumberFormat="1">
      <alignment readingOrder="0"/>
    </xf>
    <xf borderId="0" fillId="0" fontId="1" numFmtId="49" xfId="0" applyFont="1" applyNumberFormat="1"/>
    <xf borderId="0" fillId="0" fontId="5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4" numFmtId="164" xfId="0" applyAlignment="1" applyFont="1" applyNumberFormat="1">
      <alignment readingOrder="0"/>
    </xf>
    <xf quotePrefix="1" borderId="0" fillId="0" fontId="4" numFmtId="0" xfId="0" applyAlignment="1" applyFont="1">
      <alignment readingOrder="0"/>
    </xf>
    <xf borderId="0" fillId="0" fontId="2" numFmtId="49" xfId="0" applyFont="1" applyNumberFormat="1"/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5" numFmtId="49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65.29"/>
    <col customWidth="1" min="3" max="3" width="14.43"/>
    <col customWidth="1" min="4" max="4" width="50.57"/>
    <col customWidth="1" min="5" max="6" width="14.43"/>
    <col customWidth="1" min="8" max="8" width="15.43"/>
    <col customWidth="1" min="9" max="9" width="14.86"/>
  </cols>
  <sheetData>
    <row r="1" ht="15.75" customHeight="1">
      <c r="A1" s="3" t="s">
        <v>1</v>
      </c>
      <c r="B1" s="3" t="s">
        <v>10</v>
      </c>
      <c r="C1" s="6" t="s">
        <v>6</v>
      </c>
      <c r="D1" s="8" t="s">
        <v>16</v>
      </c>
      <c r="E1" s="6" t="s">
        <v>19</v>
      </c>
      <c r="F1" s="6" t="s">
        <v>21</v>
      </c>
      <c r="G1" s="6" t="s">
        <v>22</v>
      </c>
      <c r="H1" s="9" t="s">
        <v>25</v>
      </c>
      <c r="I1" s="9" t="s">
        <v>27</v>
      </c>
    </row>
    <row r="2" ht="15.75" customHeight="1">
      <c r="A2" s="10" t="s">
        <v>29</v>
      </c>
      <c r="B2" s="10" t="s">
        <v>31</v>
      </c>
      <c r="C2" s="11" t="s">
        <v>7</v>
      </c>
      <c r="D2" s="11" t="s">
        <v>34</v>
      </c>
      <c r="E2" s="12"/>
      <c r="F2" s="12">
        <v>0.0</v>
      </c>
      <c r="G2" s="12">
        <v>0.0</v>
      </c>
      <c r="H2" s="13">
        <f>(SUMIF(Purchases!B:B,A2,Purchases!C:C)-SUMIF(Sales!B:B,A2,Sales!C:C))+E2</f>
        <v>0</v>
      </c>
      <c r="I2" s="2" t="str">
        <f t="shared" ref="I2:I82" si="1">IF(H2 &lt;= 0,"สต๊อกหมด",IF(OR(ISBLANK(F2),F2 &lt;= 0),"สต๊อกเพียงพอ",IF(H2 &lt;= F2,"สต๊อกใกล้หมด","สต๊อกเพียงพอ")))</f>
        <v>สต๊อกหมด</v>
      </c>
    </row>
    <row r="3" ht="15.75" customHeight="1">
      <c r="A3" s="10" t="s">
        <v>59</v>
      </c>
      <c r="B3" s="10" t="s">
        <v>61</v>
      </c>
      <c r="C3" s="11" t="s">
        <v>7</v>
      </c>
      <c r="D3" s="11" t="s">
        <v>63</v>
      </c>
      <c r="E3" s="12"/>
      <c r="F3" s="12">
        <v>0.0</v>
      </c>
      <c r="G3" s="12">
        <v>0.0</v>
      </c>
      <c r="H3" s="13">
        <f>(SUMIF(Purchases!B:B,A3,Purchases!C:C)-SUMIF(Sales!B:B,A3,Sales!C:C))+E3</f>
        <v>0</v>
      </c>
      <c r="I3" s="2" t="str">
        <f t="shared" si="1"/>
        <v>สต๊อกหมด</v>
      </c>
    </row>
    <row r="4" ht="15.75" customHeight="1">
      <c r="A4" s="10" t="s">
        <v>73</v>
      </c>
      <c r="B4" s="10" t="s">
        <v>74</v>
      </c>
      <c r="C4" s="11" t="s">
        <v>7</v>
      </c>
      <c r="D4" s="11" t="s">
        <v>75</v>
      </c>
      <c r="E4" s="13"/>
      <c r="F4" s="12">
        <v>0.0</v>
      </c>
      <c r="G4" s="12">
        <v>0.0</v>
      </c>
      <c r="H4" s="13">
        <f>(SUMIF(Purchases!B:B,A4,Purchases!C:C)-SUMIF(Sales!B:B,A4,Sales!C:C))+E4</f>
        <v>0</v>
      </c>
      <c r="I4" s="2" t="str">
        <f t="shared" si="1"/>
        <v>สต๊อกหมด</v>
      </c>
    </row>
    <row r="5" ht="15.75" customHeight="1">
      <c r="A5" s="10" t="s">
        <v>87</v>
      </c>
      <c r="B5" s="10" t="s">
        <v>88</v>
      </c>
      <c r="C5" s="11" t="s">
        <v>7</v>
      </c>
      <c r="D5" s="11" t="s">
        <v>90</v>
      </c>
      <c r="E5" s="13"/>
      <c r="F5" s="12">
        <v>0.0</v>
      </c>
      <c r="G5" s="12">
        <v>0.0</v>
      </c>
      <c r="H5" s="13">
        <f>(SUMIF(Purchases!B:B,A5,Purchases!C:C)-SUMIF(Sales!B:B,A5,Sales!C:C))+E5</f>
        <v>0</v>
      </c>
      <c r="I5" s="2" t="str">
        <f t="shared" si="1"/>
        <v>สต๊อกหมด</v>
      </c>
    </row>
    <row r="6" ht="15.75" customHeight="1">
      <c r="A6" s="10" t="s">
        <v>86</v>
      </c>
      <c r="B6" s="10" t="s">
        <v>109</v>
      </c>
      <c r="C6" s="11" t="s">
        <v>7</v>
      </c>
      <c r="D6" s="16"/>
      <c r="E6" s="13"/>
      <c r="F6" s="12">
        <v>0.0</v>
      </c>
      <c r="G6" s="12">
        <v>0.0</v>
      </c>
      <c r="H6" s="13">
        <f>(SUMIF(Purchases!B:B,A6,Purchases!C:C)-SUMIF(Sales!B:B,A6,Sales!C:C))+E6</f>
        <v>0</v>
      </c>
      <c r="I6" s="2" t="str">
        <f t="shared" si="1"/>
        <v>สต๊อกหมด</v>
      </c>
    </row>
    <row r="7" ht="15.75" customHeight="1">
      <c r="A7" s="10" t="s">
        <v>127</v>
      </c>
      <c r="B7" s="10" t="s">
        <v>129</v>
      </c>
      <c r="C7" s="11" t="s">
        <v>7</v>
      </c>
      <c r="D7" s="16"/>
      <c r="E7" s="13"/>
      <c r="F7" s="12">
        <v>0.0</v>
      </c>
      <c r="G7" s="12">
        <v>0.0</v>
      </c>
      <c r="H7" s="13">
        <f>(SUMIF(Purchases!B:B,A7,Purchases!C:C)-SUMIF(Sales!B:B,A7,Sales!C:C))+E7</f>
        <v>0</v>
      </c>
      <c r="I7" s="2" t="str">
        <f t="shared" si="1"/>
        <v>สต๊อกหมด</v>
      </c>
    </row>
    <row r="8" ht="15.75" customHeight="1">
      <c r="A8" s="10" t="s">
        <v>143</v>
      </c>
      <c r="B8" s="10" t="s">
        <v>144</v>
      </c>
      <c r="C8" s="11" t="s">
        <v>7</v>
      </c>
      <c r="D8" s="16"/>
      <c r="E8" s="13"/>
      <c r="F8" s="12">
        <v>0.0</v>
      </c>
      <c r="G8" s="12">
        <v>0.0</v>
      </c>
      <c r="H8" s="13">
        <f>(SUMIF(Purchases!B:B,A8,Purchases!C:C)-SUMIF(Sales!B:B,A8,Sales!C:C))+E8</f>
        <v>0</v>
      </c>
      <c r="I8" s="2" t="str">
        <f t="shared" si="1"/>
        <v>สต๊อกหมด</v>
      </c>
    </row>
    <row r="9" ht="15.75" customHeight="1">
      <c r="A9" s="10" t="s">
        <v>170</v>
      </c>
      <c r="B9" s="10" t="s">
        <v>172</v>
      </c>
      <c r="C9" s="11" t="s">
        <v>7</v>
      </c>
      <c r="D9" s="16"/>
      <c r="E9" s="13"/>
      <c r="F9" s="12">
        <v>0.0</v>
      </c>
      <c r="G9" s="12">
        <v>0.0</v>
      </c>
      <c r="H9" s="13">
        <f>(SUMIF(Purchases!B:B,A9,Purchases!C:C)-SUMIF(Sales!B:B,A9,Sales!C:C))+E9</f>
        <v>0</v>
      </c>
      <c r="I9" s="2" t="str">
        <f t="shared" si="1"/>
        <v>สต๊อกหมด</v>
      </c>
    </row>
    <row r="10" ht="15.75" customHeight="1">
      <c r="A10" s="10" t="s">
        <v>85</v>
      </c>
      <c r="B10" s="10" t="s">
        <v>190</v>
      </c>
      <c r="C10" s="11" t="s">
        <v>7</v>
      </c>
      <c r="D10" s="16"/>
      <c r="E10" s="13"/>
      <c r="F10" s="12">
        <v>0.0</v>
      </c>
      <c r="G10" s="12">
        <v>0.0</v>
      </c>
      <c r="H10" s="13">
        <f>(SUMIF(Purchases!B:B,A10,Purchases!C:C)-SUMIF(Sales!B:B,A10,Sales!C:C))+E10</f>
        <v>10</v>
      </c>
      <c r="I10" s="2" t="str">
        <f t="shared" si="1"/>
        <v>สต๊อกเพียงพอ</v>
      </c>
    </row>
    <row r="11" ht="15.75" customHeight="1">
      <c r="A11" s="10" t="s">
        <v>198</v>
      </c>
      <c r="B11" s="10" t="s">
        <v>199</v>
      </c>
      <c r="C11" s="11" t="s">
        <v>7</v>
      </c>
      <c r="D11" s="16"/>
      <c r="E11" s="13"/>
      <c r="F11" s="12">
        <v>0.0</v>
      </c>
      <c r="G11" s="12">
        <v>0.0</v>
      </c>
      <c r="H11" s="13">
        <f>(SUMIF(Purchases!B:B,A11,Purchases!C:C)-SUMIF(Sales!B:B,A11,Sales!C:C))+E11</f>
        <v>0</v>
      </c>
      <c r="I11" s="2" t="str">
        <f t="shared" si="1"/>
        <v>สต๊อกหมด</v>
      </c>
    </row>
    <row r="12" ht="15.75" customHeight="1">
      <c r="A12" s="10" t="s">
        <v>202</v>
      </c>
      <c r="B12" s="10" t="s">
        <v>203</v>
      </c>
      <c r="C12" s="11" t="s">
        <v>7</v>
      </c>
      <c r="D12" s="16"/>
      <c r="E12" s="13"/>
      <c r="F12" s="12">
        <v>0.0</v>
      </c>
      <c r="G12" s="12">
        <v>0.0</v>
      </c>
      <c r="H12" s="13">
        <f>(SUMIF(Purchases!B:B,A12,Purchases!C:C)-SUMIF(Sales!B:B,A12,Sales!C:C))+E12</f>
        <v>0</v>
      </c>
      <c r="I12" s="2" t="str">
        <f t="shared" si="1"/>
        <v>สต๊อกหมด</v>
      </c>
    </row>
    <row r="13" ht="15.75" customHeight="1">
      <c r="A13" s="10" t="s">
        <v>204</v>
      </c>
      <c r="B13" s="10" t="s">
        <v>205</v>
      </c>
      <c r="C13" s="11" t="s">
        <v>7</v>
      </c>
      <c r="D13" s="16"/>
      <c r="E13" s="13"/>
      <c r="F13" s="12">
        <v>0.0</v>
      </c>
      <c r="G13" s="12">
        <v>0.0</v>
      </c>
      <c r="H13" s="13">
        <f>(SUMIF(Purchases!B:B,A13,Purchases!C:C)-SUMIF(Sales!B:B,A13,Sales!C:C))+E13</f>
        <v>0</v>
      </c>
      <c r="I13" s="2" t="str">
        <f t="shared" si="1"/>
        <v>สต๊อกหมด</v>
      </c>
    </row>
    <row r="14" ht="15.75" customHeight="1">
      <c r="A14" s="10" t="s">
        <v>206</v>
      </c>
      <c r="B14" s="10" t="s">
        <v>207</v>
      </c>
      <c r="C14" s="11" t="s">
        <v>7</v>
      </c>
      <c r="D14" s="16"/>
      <c r="E14" s="13"/>
      <c r="F14" s="12">
        <v>0.0</v>
      </c>
      <c r="G14" s="12">
        <v>0.0</v>
      </c>
      <c r="H14" s="13">
        <f>(SUMIF(Purchases!B:B,A14,Purchases!C:C)-SUMIF(Sales!B:B,A14,Sales!C:C))+E14</f>
        <v>0</v>
      </c>
      <c r="I14" s="2" t="str">
        <f t="shared" si="1"/>
        <v>สต๊อกหมด</v>
      </c>
    </row>
    <row r="15" ht="15.75" customHeight="1">
      <c r="A15" s="10" t="s">
        <v>208</v>
      </c>
      <c r="B15" s="10" t="s">
        <v>209</v>
      </c>
      <c r="C15" s="11" t="s">
        <v>7</v>
      </c>
      <c r="D15" s="16"/>
      <c r="E15" s="13"/>
      <c r="F15" s="12">
        <v>0.0</v>
      </c>
      <c r="G15" s="12">
        <v>0.0</v>
      </c>
      <c r="H15" s="13">
        <f>(SUMIF(Purchases!B:B,A15,Purchases!C:C)-SUMIF(Sales!B:B,A15,Sales!C:C))+E15</f>
        <v>0</v>
      </c>
      <c r="I15" s="2" t="str">
        <f t="shared" si="1"/>
        <v>สต๊อกหมด</v>
      </c>
    </row>
    <row r="16" ht="15.75" customHeight="1">
      <c r="A16" s="10" t="s">
        <v>154</v>
      </c>
      <c r="B16" s="10" t="s">
        <v>210</v>
      </c>
      <c r="C16" s="11" t="s">
        <v>7</v>
      </c>
      <c r="D16" s="16"/>
      <c r="E16" s="13"/>
      <c r="F16" s="12">
        <v>0.0</v>
      </c>
      <c r="G16" s="12">
        <v>0.0</v>
      </c>
      <c r="H16" s="13">
        <f>(SUMIF(Purchases!B:B,A16,Purchases!C:C)-SUMIF(Sales!B:B,A16,Sales!C:C))+E16</f>
        <v>17</v>
      </c>
      <c r="I16" s="2" t="str">
        <f t="shared" si="1"/>
        <v>สต๊อกเพียงพอ</v>
      </c>
    </row>
    <row r="17" ht="15.75" customHeight="1">
      <c r="A17" s="10" t="s">
        <v>134</v>
      </c>
      <c r="B17" s="10" t="s">
        <v>213</v>
      </c>
      <c r="C17" s="11" t="s">
        <v>7</v>
      </c>
      <c r="D17" s="16"/>
      <c r="E17" s="13"/>
      <c r="F17" s="12">
        <v>0.0</v>
      </c>
      <c r="G17" s="12">
        <v>0.0</v>
      </c>
      <c r="H17" s="13">
        <f>(SUMIF(Purchases!B:B,A17,Purchases!C:C)-SUMIF(Sales!B:B,A17,Sales!C:C))+E17</f>
        <v>5</v>
      </c>
      <c r="I17" s="2" t="str">
        <f t="shared" si="1"/>
        <v>สต๊อกเพียงพอ</v>
      </c>
    </row>
    <row r="18" ht="15.75" customHeight="1">
      <c r="A18" s="20" t="s">
        <v>91</v>
      </c>
      <c r="B18" s="10" t="s">
        <v>80</v>
      </c>
      <c r="C18" s="19" t="s">
        <v>7</v>
      </c>
      <c r="D18" s="16"/>
      <c r="E18" s="12">
        <v>0.0</v>
      </c>
      <c r="F18" s="12">
        <v>2.0</v>
      </c>
      <c r="G18" s="12">
        <v>5.0</v>
      </c>
      <c r="H18" s="13">
        <f>(SUMIF(Purchases!B:B,A18,Purchases!C:C)-SUMIF(Sales!B:B,A18,Sales!C:C))+E18</f>
        <v>13</v>
      </c>
      <c r="I18" s="2" t="str">
        <f t="shared" si="1"/>
        <v>สต๊อกเพียงพอ</v>
      </c>
    </row>
    <row r="19" ht="15.75" customHeight="1">
      <c r="A19" s="10" t="s">
        <v>92</v>
      </c>
      <c r="B19" s="10" t="s">
        <v>216</v>
      </c>
      <c r="C19" s="19" t="s">
        <v>7</v>
      </c>
      <c r="D19" s="16"/>
      <c r="E19" s="13"/>
      <c r="F19" s="12">
        <v>2.0</v>
      </c>
      <c r="G19" s="12">
        <v>5.0</v>
      </c>
      <c r="H19" s="13">
        <f>(SUMIF(Purchases!B:B,A19,Purchases!C:C)-SUMIF(Sales!B:B,A19,Sales!C:C))+E19</f>
        <v>4</v>
      </c>
      <c r="I19" s="2" t="str">
        <f t="shared" si="1"/>
        <v>สต๊อกเพียงพอ</v>
      </c>
    </row>
    <row r="20" ht="15.75" customHeight="1">
      <c r="A20" s="20" t="s">
        <v>83</v>
      </c>
      <c r="B20" s="10" t="s">
        <v>217</v>
      </c>
      <c r="C20" s="19" t="s">
        <v>9</v>
      </c>
      <c r="D20" s="16"/>
      <c r="E20" s="13"/>
      <c r="F20" s="12">
        <v>50.0</v>
      </c>
      <c r="G20" s="12">
        <v>100.0</v>
      </c>
      <c r="H20" s="13">
        <f>(SUMIF(Purchases!B:B,A20,Purchases!C:C)-SUMIF(Sales!B:B,A20,Sales!C:C))+E20</f>
        <v>135</v>
      </c>
      <c r="I20" s="2" t="str">
        <f t="shared" si="1"/>
        <v>สต๊อกเพียงพอ</v>
      </c>
    </row>
    <row r="21" ht="15.75" customHeight="1">
      <c r="A21" s="20" t="s">
        <v>89</v>
      </c>
      <c r="B21" s="10" t="s">
        <v>218</v>
      </c>
      <c r="C21" s="19" t="s">
        <v>7</v>
      </c>
      <c r="D21" s="16"/>
      <c r="E21" s="13"/>
      <c r="F21" s="12">
        <v>5.0</v>
      </c>
      <c r="G21" s="12">
        <v>10.0</v>
      </c>
      <c r="H21" s="13">
        <f>(SUMIF(Purchases!B:B,A21,Purchases!C:C)-SUMIF(Sales!B:B,A21,Sales!C:C))+E21</f>
        <v>27</v>
      </c>
      <c r="I21" s="2" t="str">
        <f t="shared" si="1"/>
        <v>สต๊อกเพียงพอ</v>
      </c>
    </row>
    <row r="22" ht="15.75" customHeight="1">
      <c r="A22" s="20" t="s">
        <v>219</v>
      </c>
      <c r="B22" s="10" t="s">
        <v>220</v>
      </c>
      <c r="C22" s="19" t="s">
        <v>7</v>
      </c>
      <c r="D22" s="16"/>
      <c r="E22" s="13"/>
      <c r="F22" s="12">
        <v>3.0</v>
      </c>
      <c r="G22" s="12">
        <v>10.0</v>
      </c>
      <c r="H22" s="13">
        <f>(SUMIF(Purchases!B:B,A22,Purchases!C:C)-SUMIF(Sales!B:B,A22,Sales!C:C))+E22</f>
        <v>4</v>
      </c>
      <c r="I22" s="2" t="str">
        <f t="shared" si="1"/>
        <v>สต๊อกเพียงพอ</v>
      </c>
    </row>
    <row r="23" ht="15.75" customHeight="1">
      <c r="A23" s="20" t="s">
        <v>95</v>
      </c>
      <c r="B23" s="10" t="s">
        <v>221</v>
      </c>
      <c r="C23" s="19" t="s">
        <v>7</v>
      </c>
      <c r="D23" s="16"/>
      <c r="E23" s="13"/>
      <c r="F23" s="12">
        <v>3.0</v>
      </c>
      <c r="G23" s="12">
        <v>10.0</v>
      </c>
      <c r="H23" s="13">
        <f>(SUMIF(Purchases!B:B,A23,Purchases!C:C)-SUMIF(Sales!B:B,A23,Sales!C:C))+E23</f>
        <v>21</v>
      </c>
      <c r="I23" s="2" t="str">
        <f t="shared" si="1"/>
        <v>สต๊อกเพียงพอ</v>
      </c>
    </row>
    <row r="24" ht="15.75" customHeight="1">
      <c r="A24" s="20" t="s">
        <v>224</v>
      </c>
      <c r="B24" s="10" t="s">
        <v>225</v>
      </c>
      <c r="C24" s="19" t="s">
        <v>7</v>
      </c>
      <c r="D24" s="16"/>
      <c r="E24" s="13"/>
      <c r="F24" s="12">
        <v>2.0</v>
      </c>
      <c r="G24" s="12">
        <v>5.0</v>
      </c>
      <c r="H24" s="13">
        <f>(SUMIF(Purchases!B:B,A24,Purchases!C:C)-SUMIF(Sales!B:B,A24,Sales!C:C))+E24</f>
        <v>4</v>
      </c>
      <c r="I24" s="2" t="str">
        <f t="shared" si="1"/>
        <v>สต๊อกเพียงพอ</v>
      </c>
    </row>
    <row r="25" ht="15.75" customHeight="1">
      <c r="A25" s="20" t="s">
        <v>94</v>
      </c>
      <c r="B25" s="10" t="s">
        <v>227</v>
      </c>
      <c r="C25" s="19" t="s">
        <v>7</v>
      </c>
      <c r="D25" s="16"/>
      <c r="E25" s="13"/>
      <c r="F25" s="12">
        <v>3.0</v>
      </c>
      <c r="G25" s="12">
        <v>5.0</v>
      </c>
      <c r="H25" s="13">
        <f>(SUMIF(Purchases!B:B,A25,Purchases!C:C)-SUMIF(Sales!B:B,A25,Sales!C:C))+E25</f>
        <v>8</v>
      </c>
      <c r="I25" s="2" t="str">
        <f t="shared" si="1"/>
        <v>สต๊อกเพียงพอ</v>
      </c>
    </row>
    <row r="26" ht="15.75" customHeight="1">
      <c r="A26" s="20" t="s">
        <v>97</v>
      </c>
      <c r="B26" s="10" t="s">
        <v>229</v>
      </c>
      <c r="C26" s="19" t="s">
        <v>7</v>
      </c>
      <c r="D26" s="16"/>
      <c r="E26" s="13"/>
      <c r="F26" s="12">
        <v>3.0</v>
      </c>
      <c r="G26" s="12">
        <v>5.0</v>
      </c>
      <c r="H26" s="13">
        <f>(SUMIF(Purchases!B:B,A26,Purchases!C:C)-SUMIF(Sales!B:B,A26,Sales!C:C))+E26</f>
        <v>10</v>
      </c>
      <c r="I26" s="2" t="str">
        <f t="shared" si="1"/>
        <v>สต๊อกเพียงพอ</v>
      </c>
    </row>
    <row r="27" ht="15.75" customHeight="1">
      <c r="A27" s="20" t="s">
        <v>98</v>
      </c>
      <c r="B27" s="10" t="s">
        <v>232</v>
      </c>
      <c r="C27" s="19" t="s">
        <v>7</v>
      </c>
      <c r="D27" s="16"/>
      <c r="E27" s="13"/>
      <c r="F27" s="12">
        <v>3.0</v>
      </c>
      <c r="G27" s="12">
        <v>10.0</v>
      </c>
      <c r="H27" s="13">
        <f>(SUMIF(Purchases!B:B,A27,Purchases!C:C)-SUMIF(Sales!B:B,A27,Sales!C:C))+E27</f>
        <v>36</v>
      </c>
      <c r="I27" s="2" t="str">
        <f t="shared" si="1"/>
        <v>สต๊อกเพียงพอ</v>
      </c>
    </row>
    <row r="28" ht="15.75" customHeight="1">
      <c r="A28" s="20" t="s">
        <v>99</v>
      </c>
      <c r="B28" s="10" t="s">
        <v>233</v>
      </c>
      <c r="C28" s="19" t="s">
        <v>7</v>
      </c>
      <c r="D28" s="16"/>
      <c r="E28" s="13"/>
      <c r="F28" s="12">
        <v>3.0</v>
      </c>
      <c r="G28" s="12">
        <v>5.0</v>
      </c>
      <c r="H28" s="13">
        <f>(SUMIF(Purchases!B:B,A28,Purchases!C:C)-SUMIF(Sales!B:B,A28,Sales!C:C))+E28</f>
        <v>58</v>
      </c>
      <c r="I28" s="2" t="str">
        <f t="shared" si="1"/>
        <v>สต๊อกเพียงพอ</v>
      </c>
    </row>
    <row r="29" ht="15.75" customHeight="1">
      <c r="A29" s="20" t="s">
        <v>100</v>
      </c>
      <c r="B29" s="10" t="s">
        <v>234</v>
      </c>
      <c r="C29" s="19" t="s">
        <v>7</v>
      </c>
      <c r="D29" s="16"/>
      <c r="E29" s="13"/>
      <c r="F29" s="12">
        <v>3.0</v>
      </c>
      <c r="G29" s="12">
        <v>10.0</v>
      </c>
      <c r="H29" s="13">
        <f>(SUMIF(Purchases!B:B,A29,Purchases!C:C)-SUMIF(Sales!B:B,A29,Sales!C:C))+E29</f>
        <v>160</v>
      </c>
      <c r="I29" s="2" t="str">
        <f t="shared" si="1"/>
        <v>สต๊อกเพียงพอ</v>
      </c>
    </row>
    <row r="30" ht="15.75" customHeight="1">
      <c r="A30" s="20" t="s">
        <v>102</v>
      </c>
      <c r="B30" s="10" t="s">
        <v>235</v>
      </c>
      <c r="C30" s="19" t="s">
        <v>7</v>
      </c>
      <c r="D30" s="16"/>
      <c r="E30" s="13"/>
      <c r="F30" s="12">
        <v>3.0</v>
      </c>
      <c r="G30" s="12">
        <v>10.0</v>
      </c>
      <c r="H30" s="13">
        <f>(SUMIF(Purchases!B:B,A30,Purchases!C:C)-SUMIF(Sales!B:B,A30,Sales!C:C))+E30</f>
        <v>6</v>
      </c>
      <c r="I30" s="2" t="str">
        <f t="shared" si="1"/>
        <v>สต๊อกเพียงพอ</v>
      </c>
    </row>
    <row r="31" ht="15.75" customHeight="1">
      <c r="A31" s="20" t="s">
        <v>103</v>
      </c>
      <c r="B31" s="10" t="s">
        <v>236</v>
      </c>
      <c r="C31" s="19" t="s">
        <v>7</v>
      </c>
      <c r="D31" s="16"/>
      <c r="E31" s="13"/>
      <c r="F31" s="12">
        <v>3.0</v>
      </c>
      <c r="G31" s="12">
        <v>10.0</v>
      </c>
      <c r="H31" s="13">
        <f>(SUMIF(Purchases!B:B,A31,Purchases!C:C)-SUMIF(Sales!B:B,A31,Sales!C:C))+E31</f>
        <v>5</v>
      </c>
      <c r="I31" s="2" t="str">
        <f t="shared" si="1"/>
        <v>สต๊อกเพียงพอ</v>
      </c>
    </row>
    <row r="32" ht="15.75" customHeight="1">
      <c r="A32" s="20" t="s">
        <v>104</v>
      </c>
      <c r="B32" s="10" t="s">
        <v>237</v>
      </c>
      <c r="C32" s="19" t="s">
        <v>7</v>
      </c>
      <c r="D32" s="16"/>
      <c r="E32" s="13"/>
      <c r="F32" s="12">
        <v>5.0</v>
      </c>
      <c r="G32" s="12">
        <v>10.0</v>
      </c>
      <c r="H32" s="13">
        <f>(SUMIF(Purchases!B:B,A32,Purchases!C:C)-SUMIF(Sales!B:B,A32,Sales!C:C))+E32</f>
        <v>326</v>
      </c>
      <c r="I32" s="2" t="str">
        <f t="shared" si="1"/>
        <v>สต๊อกเพียงพอ</v>
      </c>
    </row>
    <row r="33" ht="15.75" customHeight="1">
      <c r="A33" s="20" t="s">
        <v>106</v>
      </c>
      <c r="B33" s="10" t="s">
        <v>238</v>
      </c>
      <c r="C33" s="19" t="s">
        <v>7</v>
      </c>
      <c r="D33" s="16"/>
      <c r="E33" s="13"/>
      <c r="F33" s="12">
        <v>3.0</v>
      </c>
      <c r="G33" s="12">
        <v>10.0</v>
      </c>
      <c r="H33" s="13">
        <f>(SUMIF(Purchases!B:B,A33,Purchases!C:C)-SUMIF(Sales!B:B,A33,Sales!C:C))+E33</f>
        <v>28</v>
      </c>
      <c r="I33" s="2" t="str">
        <f t="shared" si="1"/>
        <v>สต๊อกเพียงพอ</v>
      </c>
    </row>
    <row r="34" ht="15.75" customHeight="1">
      <c r="A34" s="20" t="s">
        <v>107</v>
      </c>
      <c r="B34" s="10" t="s">
        <v>239</v>
      </c>
      <c r="C34" s="19" t="s">
        <v>7</v>
      </c>
      <c r="D34" s="16"/>
      <c r="E34" s="13"/>
      <c r="F34" s="12">
        <v>3.0</v>
      </c>
      <c r="G34" s="12">
        <v>10.0</v>
      </c>
      <c r="H34" s="13">
        <f>(SUMIF(Purchases!B:B,A34,Purchases!C:C)-SUMIF(Sales!B:B,A34,Sales!C:C))+E34</f>
        <v>16</v>
      </c>
      <c r="I34" s="2" t="str">
        <f t="shared" si="1"/>
        <v>สต๊อกเพียงพอ</v>
      </c>
    </row>
    <row r="35" ht="15.75" customHeight="1">
      <c r="A35" s="20" t="s">
        <v>108</v>
      </c>
      <c r="B35" s="10" t="s">
        <v>240</v>
      </c>
      <c r="C35" s="19" t="s">
        <v>7</v>
      </c>
      <c r="D35" s="16"/>
      <c r="E35" s="13"/>
      <c r="F35" s="12">
        <v>3.0</v>
      </c>
      <c r="G35" s="12">
        <v>10.0</v>
      </c>
      <c r="H35" s="13">
        <f>(SUMIF(Purchases!B:B,A35,Purchases!C:C)-SUMIF(Sales!B:B,A35,Sales!C:C))+E35</f>
        <v>128</v>
      </c>
      <c r="I35" s="2" t="str">
        <f t="shared" si="1"/>
        <v>สต๊อกเพียงพอ</v>
      </c>
    </row>
    <row r="36" ht="15.75" customHeight="1">
      <c r="A36" s="20" t="s">
        <v>110</v>
      </c>
      <c r="B36" s="10" t="s">
        <v>241</v>
      </c>
      <c r="C36" s="19" t="s">
        <v>7</v>
      </c>
      <c r="D36" s="16"/>
      <c r="E36" s="13"/>
      <c r="F36" s="12">
        <v>2.0</v>
      </c>
      <c r="G36" s="12">
        <v>5.0</v>
      </c>
      <c r="H36" s="13">
        <f>(SUMIF(Purchases!B:B,A36,Purchases!C:C)-SUMIF(Sales!B:B,A36,Sales!C:C))+E36</f>
        <v>36</v>
      </c>
      <c r="I36" s="2" t="str">
        <f t="shared" si="1"/>
        <v>สต๊อกเพียงพอ</v>
      </c>
    </row>
    <row r="37" ht="15.75" customHeight="1">
      <c r="A37" s="20" t="s">
        <v>112</v>
      </c>
      <c r="B37" s="10" t="s">
        <v>242</v>
      </c>
      <c r="C37" s="19" t="s">
        <v>7</v>
      </c>
      <c r="D37" s="16"/>
      <c r="E37" s="13"/>
      <c r="F37" s="12">
        <v>2.0</v>
      </c>
      <c r="G37" s="12">
        <v>5.0</v>
      </c>
      <c r="H37" s="13">
        <f>(SUMIF(Purchases!B:B,A37,Purchases!C:C)-SUMIF(Sales!B:B,A37,Sales!C:C))+E37</f>
        <v>4</v>
      </c>
      <c r="I37" s="2" t="str">
        <f t="shared" si="1"/>
        <v>สต๊อกเพียงพอ</v>
      </c>
    </row>
    <row r="38" ht="15.75" customHeight="1">
      <c r="A38" s="20" t="s">
        <v>113</v>
      </c>
      <c r="B38" s="10" t="s">
        <v>243</v>
      </c>
      <c r="C38" s="19" t="s">
        <v>7</v>
      </c>
      <c r="D38" s="16"/>
      <c r="E38" s="13"/>
      <c r="F38" s="12">
        <v>2.0</v>
      </c>
      <c r="G38" s="12">
        <v>5.0</v>
      </c>
      <c r="H38" s="13">
        <f>(SUMIF(Purchases!B:B,A38,Purchases!C:C)-SUMIF(Sales!B:B,A38,Sales!C:C))+E38</f>
        <v>21</v>
      </c>
      <c r="I38" s="2" t="str">
        <f t="shared" si="1"/>
        <v>สต๊อกเพียงพอ</v>
      </c>
    </row>
    <row r="39" ht="15.75" customHeight="1">
      <c r="A39" s="20" t="s">
        <v>114</v>
      </c>
      <c r="B39" s="10" t="s">
        <v>244</v>
      </c>
      <c r="C39" s="19" t="s">
        <v>7</v>
      </c>
      <c r="D39" s="16"/>
      <c r="E39" s="13"/>
      <c r="F39" s="12">
        <v>2.0</v>
      </c>
      <c r="G39" s="12">
        <v>5.0</v>
      </c>
      <c r="H39" s="13">
        <f>(SUMIF(Purchases!B:B,A39,Purchases!C:C)-SUMIF(Sales!B:B,A39,Sales!C:C))+E39</f>
        <v>4</v>
      </c>
      <c r="I39" s="2" t="str">
        <f t="shared" si="1"/>
        <v>สต๊อกเพียงพอ</v>
      </c>
    </row>
    <row r="40" ht="15.75" customHeight="1">
      <c r="A40" s="20" t="s">
        <v>116</v>
      </c>
      <c r="B40" s="10" t="s">
        <v>245</v>
      </c>
      <c r="C40" s="19" t="s">
        <v>7</v>
      </c>
      <c r="D40" s="16"/>
      <c r="E40" s="13"/>
      <c r="F40" s="12">
        <v>2.0</v>
      </c>
      <c r="G40" s="12">
        <v>5.0</v>
      </c>
      <c r="H40" s="13">
        <f>(SUMIF(Purchases!B:B,A40,Purchases!C:C)-SUMIF(Sales!B:B,A40,Sales!C:C))+E40</f>
        <v>8</v>
      </c>
      <c r="I40" s="2" t="str">
        <f t="shared" si="1"/>
        <v>สต๊อกเพียงพอ</v>
      </c>
    </row>
    <row r="41" ht="15.75" customHeight="1">
      <c r="A41" s="20" t="s">
        <v>117</v>
      </c>
      <c r="B41" s="10" t="s">
        <v>246</v>
      </c>
      <c r="C41" s="19" t="s">
        <v>7</v>
      </c>
      <c r="D41" s="16"/>
      <c r="E41" s="13"/>
      <c r="F41" s="12">
        <v>2.0</v>
      </c>
      <c r="G41" s="12">
        <v>5.0</v>
      </c>
      <c r="H41" s="13">
        <f>(SUMIF(Purchases!B:B,A41,Purchases!C:C)-SUMIF(Sales!B:B,A41,Sales!C:C))+E41</f>
        <v>10</v>
      </c>
      <c r="I41" s="2" t="str">
        <f t="shared" si="1"/>
        <v>สต๊อกเพียงพอ</v>
      </c>
    </row>
    <row r="42" ht="15.75" customHeight="1">
      <c r="A42" s="20" t="s">
        <v>247</v>
      </c>
      <c r="B42" s="10" t="s">
        <v>248</v>
      </c>
      <c r="C42" s="11" t="s">
        <v>7</v>
      </c>
      <c r="D42" s="16"/>
      <c r="E42" s="13"/>
      <c r="F42" s="12">
        <v>2.0</v>
      </c>
      <c r="G42" s="12">
        <v>5.0</v>
      </c>
      <c r="H42" s="13">
        <f>(SUMIF(Purchases!B:B,A42,Purchases!C:C)-SUMIF(Sales!B:B,A42,Sales!C:C))+E42</f>
        <v>36</v>
      </c>
      <c r="I42" s="2" t="str">
        <f t="shared" si="1"/>
        <v>สต๊อกเพียงพอ</v>
      </c>
    </row>
    <row r="43" ht="15.75" customHeight="1">
      <c r="A43" s="20" t="s">
        <v>119</v>
      </c>
      <c r="B43" s="10" t="s">
        <v>249</v>
      </c>
      <c r="C43" s="11" t="s">
        <v>7</v>
      </c>
      <c r="D43" s="16"/>
      <c r="E43" s="13"/>
      <c r="F43" s="12">
        <v>1.0</v>
      </c>
      <c r="G43" s="12">
        <v>3.0</v>
      </c>
      <c r="H43" s="13">
        <f>(SUMIF(Purchases!B:B,A43,Purchases!C:C)-SUMIF(Sales!B:B,A43,Sales!C:C))+E43</f>
        <v>58</v>
      </c>
      <c r="I43" s="2" t="str">
        <f t="shared" si="1"/>
        <v>สต๊อกเพียงพอ</v>
      </c>
    </row>
    <row r="44" ht="15.75" customHeight="1">
      <c r="A44" s="20" t="s">
        <v>121</v>
      </c>
      <c r="B44" s="10" t="s">
        <v>250</v>
      </c>
      <c r="C44" s="11" t="s">
        <v>7</v>
      </c>
      <c r="D44" s="16"/>
      <c r="E44" s="13"/>
      <c r="F44" s="12">
        <v>2.0</v>
      </c>
      <c r="G44" s="12">
        <v>5.0</v>
      </c>
      <c r="H44" s="13">
        <f>(SUMIF(Purchases!B:B,A44,Purchases!C:C)-SUMIF(Sales!B:B,A44,Sales!C:C))+E44</f>
        <v>160</v>
      </c>
      <c r="I44" s="16" t="str">
        <f t="shared" si="1"/>
        <v>สต๊อกเพียงพอ</v>
      </c>
    </row>
    <row r="45" ht="15.75" customHeight="1">
      <c r="A45" s="20" t="s">
        <v>122</v>
      </c>
      <c r="B45" s="10" t="s">
        <v>251</v>
      </c>
      <c r="C45" s="11" t="s">
        <v>7</v>
      </c>
      <c r="D45" s="16"/>
      <c r="E45" s="13"/>
      <c r="F45" s="12">
        <v>2.0</v>
      </c>
      <c r="G45" s="12">
        <v>5.0</v>
      </c>
      <c r="H45" s="13">
        <f>(SUMIF(Purchases!B:B,A45,Purchases!C:C)-SUMIF(Sales!B:B,A45,Sales!C:C))+E45</f>
        <v>6</v>
      </c>
      <c r="I45" s="16" t="str">
        <f t="shared" si="1"/>
        <v>สต๊อกเพียงพอ</v>
      </c>
    </row>
    <row r="46" ht="15.75" customHeight="1">
      <c r="A46" s="20" t="s">
        <v>124</v>
      </c>
      <c r="B46" s="10" t="s">
        <v>252</v>
      </c>
      <c r="C46" s="11" t="s">
        <v>7</v>
      </c>
      <c r="D46" s="16"/>
      <c r="E46" s="13"/>
      <c r="F46" s="12">
        <v>2.0</v>
      </c>
      <c r="G46" s="12">
        <v>5.0</v>
      </c>
      <c r="H46" s="13">
        <f>(SUMIF(Purchases!B:B,A46,Purchases!C:C)-SUMIF(Sales!B:B,A46,Sales!C:C))+E46</f>
        <v>5</v>
      </c>
      <c r="I46" s="16" t="str">
        <f t="shared" si="1"/>
        <v>สต๊อกเพียงพอ</v>
      </c>
    </row>
    <row r="47" ht="15.75" customHeight="1">
      <c r="A47" s="20" t="s">
        <v>125</v>
      </c>
      <c r="B47" s="10" t="s">
        <v>253</v>
      </c>
      <c r="C47" s="11" t="s">
        <v>7</v>
      </c>
      <c r="D47" s="16"/>
      <c r="E47" s="13"/>
      <c r="F47" s="12">
        <v>2.0</v>
      </c>
      <c r="G47" s="12">
        <v>5.0</v>
      </c>
      <c r="H47" s="13">
        <f>(SUMIF(Purchases!B:B,A47,Purchases!C:C)-SUMIF(Sales!B:B,A47,Sales!C:C))+E47</f>
        <v>135</v>
      </c>
      <c r="I47" s="16" t="str">
        <f t="shared" si="1"/>
        <v>สต๊อกเพียงพอ</v>
      </c>
    </row>
    <row r="48" ht="15.75" customHeight="1">
      <c r="A48" s="15" t="s">
        <v>130</v>
      </c>
      <c r="B48" s="5" t="s">
        <v>254</v>
      </c>
      <c r="C48" s="5" t="s">
        <v>7</v>
      </c>
      <c r="F48" s="5">
        <v>2.0</v>
      </c>
      <c r="G48" s="5">
        <v>5.0</v>
      </c>
      <c r="H48" s="21">
        <f>(SUMIF(Purchases!B:B,A48,Purchases!C:C)-SUMIF(Sales!B:B,A48,Sales!C:C))+E48</f>
        <v>326</v>
      </c>
      <c r="I48" s="21" t="str">
        <f t="shared" si="1"/>
        <v>สต๊อกเพียงพอ</v>
      </c>
    </row>
    <row r="49" ht="15.75" customHeight="1">
      <c r="A49" s="15" t="s">
        <v>133</v>
      </c>
      <c r="B49" s="5" t="s">
        <v>255</v>
      </c>
      <c r="C49" s="5" t="s">
        <v>7</v>
      </c>
      <c r="F49" s="5">
        <v>2.0</v>
      </c>
      <c r="G49" s="5">
        <v>5.0</v>
      </c>
      <c r="H49" s="21">
        <f>(SUMIF(Purchases!B:B,A49,Purchases!C:C)-SUMIF(Sales!B:B,A49,Sales!C:C))+E49</f>
        <v>28</v>
      </c>
      <c r="I49" s="21" t="str">
        <f t="shared" si="1"/>
        <v>สต๊อกเพียงพอ</v>
      </c>
    </row>
    <row r="50" ht="15.75" customHeight="1">
      <c r="A50" s="15" t="s">
        <v>136</v>
      </c>
      <c r="B50" s="5" t="s">
        <v>256</v>
      </c>
      <c r="C50" s="5" t="s">
        <v>7</v>
      </c>
      <c r="F50" s="5">
        <v>2.0</v>
      </c>
      <c r="G50" s="5">
        <v>10.0</v>
      </c>
      <c r="H50" s="21">
        <f>(SUMIF(Purchases!B:B,A50,Purchases!C:C)-SUMIF(Sales!B:B,A50,Sales!C:C))+E50</f>
        <v>16</v>
      </c>
      <c r="I50" s="21" t="str">
        <f t="shared" si="1"/>
        <v>สต๊อกเพียงพอ</v>
      </c>
    </row>
    <row r="51" ht="15.75" customHeight="1">
      <c r="A51" s="15" t="s">
        <v>140</v>
      </c>
      <c r="B51" s="5" t="s">
        <v>257</v>
      </c>
      <c r="C51" s="5" t="s">
        <v>7</v>
      </c>
      <c r="F51" s="5">
        <v>2.0</v>
      </c>
      <c r="G51" s="5">
        <v>6.0</v>
      </c>
      <c r="H51" s="21">
        <f>(SUMIF(Purchases!B:B,A51,Purchases!C:C)-SUMIF(Sales!B:B,A51,Sales!C:C))+E51</f>
        <v>128</v>
      </c>
      <c r="I51" s="21" t="str">
        <f t="shared" si="1"/>
        <v>สต๊อกเพียงพอ</v>
      </c>
    </row>
    <row r="52" ht="15.75" customHeight="1">
      <c r="A52" s="15" t="s">
        <v>145</v>
      </c>
      <c r="B52" s="5" t="s">
        <v>258</v>
      </c>
      <c r="C52" s="5" t="s">
        <v>7</v>
      </c>
      <c r="F52" s="5">
        <v>2.0</v>
      </c>
      <c r="G52" s="5">
        <v>10.0</v>
      </c>
      <c r="H52" s="21">
        <f>(SUMIF(Purchases!B:B,A52,Purchases!C:C)-SUMIF(Sales!B:B,A52,Sales!C:C))+E52</f>
        <v>36</v>
      </c>
      <c r="I52" s="21" t="str">
        <f t="shared" si="1"/>
        <v>สต๊อกเพียงพอ</v>
      </c>
    </row>
    <row r="53" ht="15.75" customHeight="1">
      <c r="A53" s="15" t="s">
        <v>146</v>
      </c>
      <c r="B53" s="5" t="s">
        <v>259</v>
      </c>
      <c r="C53" s="5" t="s">
        <v>7</v>
      </c>
      <c r="F53" s="5">
        <v>2.0</v>
      </c>
      <c r="G53" s="5">
        <v>6.0</v>
      </c>
      <c r="H53" s="21">
        <f>(SUMIF(Purchases!B:B,A53,Purchases!C:C)-SUMIF(Sales!B:B,A53,Sales!C:C))+E53</f>
        <v>2</v>
      </c>
      <c r="I53" s="21" t="str">
        <f t="shared" si="1"/>
        <v>สต๊อกใกล้หมด</v>
      </c>
    </row>
    <row r="54" ht="15.75" customHeight="1">
      <c r="A54" s="15" t="s">
        <v>149</v>
      </c>
      <c r="B54" s="5" t="s">
        <v>260</v>
      </c>
      <c r="C54" s="5" t="s">
        <v>7</v>
      </c>
      <c r="F54" s="5">
        <v>2.0</v>
      </c>
      <c r="G54" s="5">
        <v>5.0</v>
      </c>
      <c r="H54" s="21">
        <f>(SUMIF(Purchases!B:B,A54,Purchases!C:C)-SUMIF(Sales!B:B,A54,Sales!C:C))+E54</f>
        <v>1</v>
      </c>
      <c r="I54" s="21" t="str">
        <f t="shared" si="1"/>
        <v>สต๊อกใกล้หมด</v>
      </c>
    </row>
    <row r="55" ht="15.75" customHeight="1">
      <c r="A55" s="15" t="s">
        <v>152</v>
      </c>
      <c r="B55" s="5" t="s">
        <v>261</v>
      </c>
      <c r="C55" s="5" t="s">
        <v>7</v>
      </c>
      <c r="F55" s="5">
        <v>2.0</v>
      </c>
      <c r="G55" s="5">
        <v>10.0</v>
      </c>
      <c r="H55" s="21">
        <f>(SUMIF(Purchases!B:B,A55,Purchases!C:C)-SUMIF(Sales!B:B,A55,Sales!C:C))+E55</f>
        <v>1</v>
      </c>
      <c r="I55" s="21" t="str">
        <f t="shared" si="1"/>
        <v>สต๊อกใกล้หมด</v>
      </c>
    </row>
    <row r="56" ht="15.75" customHeight="1">
      <c r="A56" s="15" t="s">
        <v>153</v>
      </c>
      <c r="B56" s="5" t="s">
        <v>262</v>
      </c>
      <c r="C56" s="5" t="s">
        <v>7</v>
      </c>
      <c r="F56" s="5">
        <v>2.0</v>
      </c>
      <c r="G56" s="5">
        <v>10.0</v>
      </c>
      <c r="H56" s="21">
        <f>(SUMIF(Purchases!B:B,A56,Purchases!C:C)-SUMIF(Sales!B:B,A56,Sales!C:C))+E56</f>
        <v>6</v>
      </c>
      <c r="I56" s="21" t="str">
        <f t="shared" si="1"/>
        <v>สต๊อกเพียงพอ</v>
      </c>
    </row>
    <row r="57" ht="15.75" customHeight="1">
      <c r="A57" s="15" t="s">
        <v>157</v>
      </c>
      <c r="B57" s="5" t="s">
        <v>263</v>
      </c>
      <c r="C57" s="5" t="s">
        <v>7</v>
      </c>
      <c r="F57" s="5">
        <v>2.0</v>
      </c>
      <c r="G57" s="5">
        <v>10.0</v>
      </c>
      <c r="H57" s="21">
        <f>(SUMIF(Purchases!B:B,A57,Purchases!C:C)-SUMIF(Sales!B:B,A57,Sales!C:C))+E57</f>
        <v>7</v>
      </c>
      <c r="I57" s="21" t="str">
        <f t="shared" si="1"/>
        <v>สต๊อกเพียงพอ</v>
      </c>
    </row>
    <row r="58" ht="15.75" customHeight="1">
      <c r="A58" s="15" t="s">
        <v>159</v>
      </c>
      <c r="B58" s="5" t="s">
        <v>264</v>
      </c>
      <c r="C58" s="5" t="s">
        <v>7</v>
      </c>
      <c r="F58" s="5">
        <v>2.0</v>
      </c>
      <c r="G58" s="5">
        <v>10.0</v>
      </c>
      <c r="H58" s="21">
        <f>(SUMIF(Purchases!B:B,A58,Purchases!C:C)-SUMIF(Sales!B:B,A58,Sales!C:C))+E58</f>
        <v>1</v>
      </c>
      <c r="I58" s="21" t="str">
        <f t="shared" si="1"/>
        <v>สต๊อกใกล้หมด</v>
      </c>
    </row>
    <row r="59" ht="15.75" customHeight="1">
      <c r="A59" s="5" t="s">
        <v>161</v>
      </c>
      <c r="B59" s="5" t="s">
        <v>265</v>
      </c>
      <c r="C59" s="5" t="s">
        <v>7</v>
      </c>
      <c r="F59" s="5">
        <v>2.0</v>
      </c>
      <c r="G59" s="5">
        <v>6.0</v>
      </c>
      <c r="H59" s="21">
        <f>(SUMIF(Purchases!B:B,A59,Purchases!C:C)-SUMIF(Sales!B:B,A59,Sales!C:C))+E59</f>
        <v>3</v>
      </c>
      <c r="I59" s="21" t="str">
        <f t="shared" si="1"/>
        <v>สต๊อกเพียงพอ</v>
      </c>
    </row>
    <row r="60" ht="15.75" customHeight="1">
      <c r="A60" s="15" t="s">
        <v>266</v>
      </c>
      <c r="B60" s="5" t="s">
        <v>267</v>
      </c>
      <c r="C60" s="5" t="s">
        <v>7</v>
      </c>
      <c r="F60" s="5">
        <v>2.0</v>
      </c>
      <c r="G60" s="5">
        <v>5.0</v>
      </c>
      <c r="H60" s="21">
        <f>(SUMIF(Purchases!B:B,A60,Purchases!C:C)-SUMIF(Sales!B:B,A60,Sales!C:C))+E60</f>
        <v>0</v>
      </c>
      <c r="I60" s="21" t="str">
        <f t="shared" si="1"/>
        <v>สต๊อกหมด</v>
      </c>
    </row>
    <row r="61" ht="15.75" customHeight="1">
      <c r="A61" s="15" t="s">
        <v>162</v>
      </c>
      <c r="B61" s="5" t="s">
        <v>268</v>
      </c>
      <c r="C61" s="5" t="s">
        <v>7</v>
      </c>
      <c r="F61" s="5">
        <v>1.0</v>
      </c>
      <c r="G61" s="5">
        <v>3.0</v>
      </c>
      <c r="H61" s="21">
        <f>(SUMIF(Purchases!B:B,A61,Purchases!C:C)-SUMIF(Sales!B:B,A61,Sales!C:C))+E61</f>
        <v>2</v>
      </c>
      <c r="I61" s="21" t="str">
        <f t="shared" si="1"/>
        <v>สต๊อกเพียงพอ</v>
      </c>
    </row>
    <row r="62" ht="15.75" customHeight="1">
      <c r="A62" s="15" t="s">
        <v>164</v>
      </c>
      <c r="B62" s="5" t="s">
        <v>269</v>
      </c>
      <c r="C62" s="5" t="s">
        <v>7</v>
      </c>
      <c r="F62" s="5">
        <v>1.0</v>
      </c>
      <c r="G62" s="5">
        <v>3.0</v>
      </c>
      <c r="H62" s="21">
        <f>(SUMIF(Purchases!B:B,A62,Purchases!C:C)-SUMIF(Sales!B:B,A62,Sales!C:C))+E62</f>
        <v>1</v>
      </c>
      <c r="I62" s="21" t="str">
        <f t="shared" si="1"/>
        <v>สต๊อกใกล้หมด</v>
      </c>
    </row>
    <row r="63" ht="15.75" customHeight="1">
      <c r="A63" s="15" t="s">
        <v>165</v>
      </c>
      <c r="B63" s="5" t="s">
        <v>270</v>
      </c>
      <c r="C63" s="5" t="s">
        <v>7</v>
      </c>
      <c r="F63" s="5">
        <v>1.0</v>
      </c>
      <c r="G63" s="5">
        <v>3.0</v>
      </c>
      <c r="H63" s="21">
        <f>(SUMIF(Purchases!B:B,A63,Purchases!C:C)-SUMIF(Sales!B:B,A63,Sales!C:C))+E63</f>
        <v>1</v>
      </c>
      <c r="I63" s="21" t="str">
        <f t="shared" si="1"/>
        <v>สต๊อกใกล้หมด</v>
      </c>
    </row>
    <row r="64" ht="15.75" customHeight="1">
      <c r="A64" s="15" t="s">
        <v>166</v>
      </c>
      <c r="B64" s="5" t="s">
        <v>271</v>
      </c>
      <c r="C64" s="5" t="s">
        <v>7</v>
      </c>
      <c r="F64" s="5">
        <v>1.0</v>
      </c>
      <c r="G64" s="5">
        <v>3.0</v>
      </c>
      <c r="H64" s="21">
        <f>(SUMIF(Purchases!B:B,A64,Purchases!C:C)-SUMIF(Sales!B:B,A64,Sales!C:C))+E64</f>
        <v>2</v>
      </c>
      <c r="I64" s="21" t="str">
        <f t="shared" si="1"/>
        <v>สต๊อกเพียงพอ</v>
      </c>
    </row>
    <row r="65" ht="15.75" customHeight="1">
      <c r="A65" s="15" t="s">
        <v>167</v>
      </c>
      <c r="B65" s="5" t="s">
        <v>272</v>
      </c>
      <c r="C65" s="5" t="s">
        <v>7</v>
      </c>
      <c r="F65" s="5">
        <v>1.0</v>
      </c>
      <c r="G65" s="5">
        <v>2.0</v>
      </c>
      <c r="H65" s="21">
        <f>(SUMIF(Purchases!B:B,A65,Purchases!C:C)-SUMIF(Sales!B:B,A65,Sales!C:C))+E65</f>
        <v>2</v>
      </c>
      <c r="I65" s="21" t="str">
        <f t="shared" si="1"/>
        <v>สต๊อกเพียงพอ</v>
      </c>
    </row>
    <row r="66" ht="15.75" customHeight="1">
      <c r="A66" s="15" t="s">
        <v>169</v>
      </c>
      <c r="B66" s="5" t="s">
        <v>273</v>
      </c>
      <c r="C66" s="5" t="s">
        <v>7</v>
      </c>
      <c r="F66" s="5">
        <v>1.0</v>
      </c>
      <c r="G66" s="5">
        <v>3.0</v>
      </c>
      <c r="H66" s="21">
        <f>(SUMIF(Purchases!B:B,A66,Purchases!C:C)-SUMIF(Sales!B:B,A66,Sales!C:C))+E66</f>
        <v>2</v>
      </c>
      <c r="I66" s="21" t="str">
        <f t="shared" si="1"/>
        <v>สต๊อกเพียงพอ</v>
      </c>
    </row>
    <row r="67" ht="15.75" customHeight="1">
      <c r="A67" s="15" t="s">
        <v>147</v>
      </c>
      <c r="B67" s="5" t="s">
        <v>274</v>
      </c>
      <c r="C67" s="5" t="s">
        <v>7</v>
      </c>
      <c r="F67" s="5">
        <v>2.0</v>
      </c>
      <c r="G67" s="5">
        <v>4.0</v>
      </c>
      <c r="H67" s="21">
        <f>(SUMIF(Purchases!B:B,A67,Purchases!C:C)-SUMIF(Sales!B:B,A67,Sales!C:C))+E67</f>
        <v>1</v>
      </c>
      <c r="I67" s="21" t="str">
        <f t="shared" si="1"/>
        <v>สต๊อกใกล้หมด</v>
      </c>
    </row>
    <row r="68" ht="15.75" customHeight="1">
      <c r="A68" s="15" t="s">
        <v>175</v>
      </c>
      <c r="B68" s="5" t="s">
        <v>275</v>
      </c>
      <c r="C68" s="5" t="s">
        <v>7</v>
      </c>
      <c r="F68" s="5">
        <v>2.0</v>
      </c>
      <c r="G68" s="5">
        <v>6.0</v>
      </c>
      <c r="H68" s="21">
        <f>(SUMIF(Purchases!B:B,A68,Purchases!C:C)-SUMIF(Sales!B:B,A68,Sales!C:C))+E68</f>
        <v>6</v>
      </c>
      <c r="I68" s="21" t="str">
        <f t="shared" si="1"/>
        <v>สต๊อกเพียงพอ</v>
      </c>
    </row>
    <row r="69" ht="15.75" customHeight="1">
      <c r="A69" s="15" t="s">
        <v>177</v>
      </c>
      <c r="B69" s="5" t="s">
        <v>276</v>
      </c>
      <c r="C69" s="5" t="s">
        <v>7</v>
      </c>
      <c r="F69" s="5">
        <v>2.0</v>
      </c>
      <c r="G69" s="5">
        <v>10.0</v>
      </c>
      <c r="H69" s="21">
        <f>(SUMIF(Purchases!B:B,A69,Purchases!C:C)-SUMIF(Sales!B:B,A69,Sales!C:C))+E69</f>
        <v>10</v>
      </c>
      <c r="I69" s="21" t="str">
        <f t="shared" si="1"/>
        <v>สต๊อกเพียงพอ</v>
      </c>
    </row>
    <row r="70" ht="15.75" customHeight="1">
      <c r="A70" s="15" t="s">
        <v>178</v>
      </c>
      <c r="B70" s="5" t="s">
        <v>277</v>
      </c>
      <c r="C70" s="5" t="s">
        <v>7</v>
      </c>
      <c r="F70" s="5">
        <v>1.0</v>
      </c>
      <c r="G70" s="5">
        <v>2.0</v>
      </c>
      <c r="H70" s="21">
        <f>(SUMIF(Purchases!B:B,A70,Purchases!C:C)-SUMIF(Sales!B:B,A70,Sales!C:C))+E70</f>
        <v>4</v>
      </c>
      <c r="I70" s="21" t="str">
        <f t="shared" si="1"/>
        <v>สต๊อกเพียงพอ</v>
      </c>
    </row>
    <row r="71" ht="15.75" customHeight="1">
      <c r="A71" s="15" t="s">
        <v>180</v>
      </c>
      <c r="B71" s="5" t="s">
        <v>278</v>
      </c>
      <c r="C71" s="5" t="s">
        <v>7</v>
      </c>
      <c r="F71" s="5">
        <v>1.0</v>
      </c>
      <c r="G71" s="5">
        <v>2.0</v>
      </c>
      <c r="H71" s="21">
        <f>(SUMIF(Purchases!B:B,A71,Purchases!C:C)-SUMIF(Sales!B:B,A71,Sales!C:C))+E71</f>
        <v>2</v>
      </c>
      <c r="I71" s="21" t="str">
        <f t="shared" si="1"/>
        <v>สต๊อกเพียงพอ</v>
      </c>
    </row>
    <row r="72" ht="15.75" customHeight="1">
      <c r="A72" s="15" t="s">
        <v>181</v>
      </c>
      <c r="B72" s="5" t="s">
        <v>279</v>
      </c>
      <c r="C72" s="5" t="s">
        <v>7</v>
      </c>
      <c r="F72" s="5">
        <v>1.0</v>
      </c>
      <c r="G72" s="5">
        <v>5.0</v>
      </c>
      <c r="H72" s="21">
        <f>(SUMIF(Purchases!B:B,A72,Purchases!C:C)-SUMIF(Sales!B:B,A72,Sales!C:C))+E72</f>
        <v>5</v>
      </c>
      <c r="I72" s="21" t="str">
        <f t="shared" si="1"/>
        <v>สต๊อกเพียงพอ</v>
      </c>
    </row>
    <row r="73" ht="15.75" customHeight="1">
      <c r="A73" s="15" t="s">
        <v>182</v>
      </c>
      <c r="B73" s="5" t="s">
        <v>280</v>
      </c>
      <c r="C73" s="5" t="s">
        <v>7</v>
      </c>
      <c r="F73" s="5">
        <v>1.0</v>
      </c>
      <c r="G73" s="5">
        <v>3.0</v>
      </c>
      <c r="H73" s="21">
        <f>(SUMIF(Purchases!B:B,A73,Purchases!C:C)-SUMIF(Sales!B:B,A73,Sales!C:C))+E73</f>
        <v>1</v>
      </c>
      <c r="I73" s="21" t="str">
        <f t="shared" si="1"/>
        <v>สต๊อกใกล้หมด</v>
      </c>
    </row>
    <row r="74" ht="15.75" customHeight="1">
      <c r="A74" s="15" t="s">
        <v>183</v>
      </c>
      <c r="B74" s="5" t="s">
        <v>281</v>
      </c>
      <c r="C74" s="5" t="s">
        <v>7</v>
      </c>
      <c r="F74" s="5">
        <v>1.0</v>
      </c>
      <c r="G74" s="5">
        <v>3.0</v>
      </c>
      <c r="H74" s="21">
        <f>(SUMIF(Purchases!B:B,A74,Purchases!C:C)-SUMIF(Sales!B:B,A74,Sales!C:C))+E74</f>
        <v>1</v>
      </c>
      <c r="I74" s="21" t="str">
        <f t="shared" si="1"/>
        <v>สต๊อกใกล้หมด</v>
      </c>
    </row>
    <row r="75" ht="15.75" customHeight="1">
      <c r="A75" s="15" t="s">
        <v>185</v>
      </c>
      <c r="B75" s="5" t="s">
        <v>282</v>
      </c>
      <c r="C75" s="5" t="s">
        <v>7</v>
      </c>
      <c r="F75" s="5">
        <v>1.0</v>
      </c>
      <c r="G75" s="5">
        <v>3.0</v>
      </c>
      <c r="H75" s="21">
        <f>(SUMIF(Purchases!B:B,A75,Purchases!C:C)-SUMIF(Sales!B:B,A75,Sales!C:C))+E75</f>
        <v>1</v>
      </c>
      <c r="I75" s="21" t="str">
        <f t="shared" si="1"/>
        <v>สต๊อกใกล้หมด</v>
      </c>
    </row>
    <row r="76" ht="15.75" customHeight="1">
      <c r="A76" s="15" t="s">
        <v>186</v>
      </c>
      <c r="B76" s="5" t="s">
        <v>283</v>
      </c>
      <c r="C76" s="5" t="s">
        <v>7</v>
      </c>
      <c r="F76" s="5">
        <v>2.0</v>
      </c>
      <c r="G76" s="5">
        <v>5.0</v>
      </c>
      <c r="H76" s="21">
        <f>(SUMIF(Purchases!B:B,A76,Purchases!C:C)-SUMIF(Sales!B:B,A76,Sales!C:C))+E76</f>
        <v>5</v>
      </c>
      <c r="I76" s="21" t="str">
        <f t="shared" si="1"/>
        <v>สต๊อกเพียงพอ</v>
      </c>
    </row>
    <row r="77" ht="15.75" customHeight="1">
      <c r="A77" s="15" t="s">
        <v>187</v>
      </c>
      <c r="B77" s="5" t="s">
        <v>284</v>
      </c>
      <c r="C77" s="5" t="s">
        <v>7</v>
      </c>
      <c r="F77" s="5">
        <v>1.0</v>
      </c>
      <c r="G77" s="5">
        <v>5.0</v>
      </c>
      <c r="H77" s="21">
        <f>(SUMIF(Purchases!B:B,A77,Purchases!C:C)-SUMIF(Sales!B:B,A77,Sales!C:C))+E77</f>
        <v>1</v>
      </c>
      <c r="I77" s="21" t="str">
        <f t="shared" si="1"/>
        <v>สต๊อกใกล้หมด</v>
      </c>
    </row>
    <row r="78" ht="15.75" customHeight="1">
      <c r="A78" s="15" t="s">
        <v>188</v>
      </c>
      <c r="B78" s="5" t="s">
        <v>285</v>
      </c>
      <c r="C78" s="5" t="s">
        <v>7</v>
      </c>
      <c r="F78" s="5">
        <v>1.0</v>
      </c>
      <c r="G78" s="5">
        <v>5.0</v>
      </c>
      <c r="H78" s="21">
        <f>(SUMIF(Purchases!B:B,A78,Purchases!C:C)-SUMIF(Sales!B:B,A78,Sales!C:C))+E78</f>
        <v>2</v>
      </c>
      <c r="I78" s="21" t="str">
        <f t="shared" si="1"/>
        <v>สต๊อกเพียงพอ</v>
      </c>
    </row>
    <row r="79" ht="15.75" customHeight="1">
      <c r="A79" s="15" t="s">
        <v>189</v>
      </c>
      <c r="B79" s="5" t="s">
        <v>286</v>
      </c>
      <c r="C79" s="5" t="s">
        <v>7</v>
      </c>
      <c r="F79" s="5">
        <v>2.0</v>
      </c>
      <c r="G79" s="5">
        <v>10.0</v>
      </c>
      <c r="H79" s="21">
        <f>(SUMIF(Purchases!B:B,A79,Purchases!C:C)-SUMIF(Sales!B:B,A79,Sales!C:C))+E79</f>
        <v>16</v>
      </c>
      <c r="I79" s="21" t="str">
        <f t="shared" si="1"/>
        <v>สต๊อกเพียงพอ</v>
      </c>
    </row>
    <row r="80" ht="15.75" customHeight="1">
      <c r="A80" s="15" t="s">
        <v>192</v>
      </c>
      <c r="B80" s="5" t="s">
        <v>287</v>
      </c>
      <c r="C80" s="5" t="s">
        <v>7</v>
      </c>
      <c r="F80" s="5">
        <v>5.0</v>
      </c>
      <c r="G80" s="5">
        <v>10.0</v>
      </c>
      <c r="H80" s="21">
        <f>(SUMIF(Purchases!B:B,A80,Purchases!C:C)-SUMIF(Sales!B:B,A80,Sales!C:C))+E80</f>
        <v>22</v>
      </c>
      <c r="I80" s="21" t="str">
        <f t="shared" si="1"/>
        <v>สต๊อกเพียงพอ</v>
      </c>
    </row>
    <row r="81" ht="15.75" customHeight="1">
      <c r="A81" s="15" t="s">
        <v>194</v>
      </c>
      <c r="B81" s="5" t="s">
        <v>288</v>
      </c>
      <c r="C81" s="5" t="s">
        <v>7</v>
      </c>
      <c r="F81" s="5">
        <v>2.0</v>
      </c>
      <c r="G81" s="5">
        <v>10.0</v>
      </c>
      <c r="H81" s="21">
        <f>(SUMIF(Purchases!B:B,A81,Purchases!C:C)-SUMIF(Sales!B:B,A81,Sales!C:C))+E81</f>
        <v>20</v>
      </c>
      <c r="I81" s="21" t="str">
        <f t="shared" si="1"/>
        <v>สต๊อกเพียงพอ</v>
      </c>
    </row>
    <row r="82" ht="15.75" customHeight="1">
      <c r="A82" s="15" t="s">
        <v>289</v>
      </c>
      <c r="B82" s="5" t="s">
        <v>290</v>
      </c>
      <c r="C82" s="5" t="s">
        <v>7</v>
      </c>
      <c r="F82" s="5">
        <v>5.0</v>
      </c>
      <c r="G82" s="5">
        <v>10.0</v>
      </c>
      <c r="H82" s="21">
        <f>(SUMIF(Purchases!B:B,A82,Purchases!C:C)-SUMIF(Sales!B:B,A82,Sales!C:C))+E82</f>
        <v>6</v>
      </c>
      <c r="I82" s="21" t="str">
        <f t="shared" si="1"/>
        <v>สต๊อกเพียงพอ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15.71"/>
    <col customWidth="1" min="3" max="3" width="14.43"/>
    <col customWidth="1" min="4" max="4" width="20.0"/>
    <col customWidth="1" min="5" max="5" width="31.86"/>
    <col customWidth="1" min="6" max="6" width="14.43"/>
  </cols>
  <sheetData>
    <row r="1" ht="15.7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ht="15.75" customHeight="1">
      <c r="A2" s="4">
        <v>45239.34533564815</v>
      </c>
      <c r="B2" s="7" t="s">
        <v>11</v>
      </c>
      <c r="C2" s="2">
        <v>1.0</v>
      </c>
      <c r="D2" s="2" t="s">
        <v>12</v>
      </c>
      <c r="E2" s="2"/>
    </row>
    <row r="3" ht="15.75" customHeight="1">
      <c r="A3" s="4">
        <v>45239.345659722225</v>
      </c>
      <c r="B3" s="2" t="s">
        <v>14</v>
      </c>
      <c r="C3" s="2">
        <v>1.0</v>
      </c>
      <c r="D3" s="2" t="s">
        <v>12</v>
      </c>
      <c r="E3" s="2"/>
    </row>
    <row r="4" ht="15.75" customHeight="1">
      <c r="A4" s="4">
        <v>45246.43881944445</v>
      </c>
      <c r="B4" s="7" t="s">
        <v>24</v>
      </c>
      <c r="C4" s="2">
        <v>1.0</v>
      </c>
      <c r="D4" s="2" t="s">
        <v>12</v>
      </c>
      <c r="E4" s="2"/>
    </row>
    <row r="5" ht="15.75" customHeight="1">
      <c r="A5" s="4">
        <v>45246.43912037037</v>
      </c>
      <c r="B5" s="7" t="s">
        <v>26</v>
      </c>
      <c r="C5" s="2">
        <v>1.0</v>
      </c>
      <c r="D5" s="2" t="s">
        <v>12</v>
      </c>
      <c r="E5" s="2"/>
    </row>
    <row r="6" ht="15.75" customHeight="1">
      <c r="A6" s="4">
        <v>45246.58951388889</v>
      </c>
      <c r="B6" s="2" t="s">
        <v>17</v>
      </c>
      <c r="C6" s="2">
        <v>1.0</v>
      </c>
      <c r="D6" s="2" t="s">
        <v>12</v>
      </c>
      <c r="E6" s="2" t="s">
        <v>28</v>
      </c>
    </row>
    <row r="7" ht="15.75" customHeight="1">
      <c r="A7" s="4">
        <v>45245.44861111111</v>
      </c>
      <c r="B7" s="7" t="s">
        <v>15</v>
      </c>
      <c r="C7" s="2">
        <v>1.0</v>
      </c>
      <c r="D7" s="2" t="s">
        <v>12</v>
      </c>
      <c r="E7" s="2" t="s">
        <v>30</v>
      </c>
    </row>
    <row r="8" ht="15.75" customHeight="1">
      <c r="A8" s="4">
        <v>45248.56324074074</v>
      </c>
      <c r="B8" s="2" t="s">
        <v>17</v>
      </c>
      <c r="C8" s="2">
        <v>1.0</v>
      </c>
      <c r="D8" s="2" t="s">
        <v>12</v>
      </c>
      <c r="E8" s="2" t="s">
        <v>32</v>
      </c>
    </row>
    <row r="9" ht="15.75" customHeight="1">
      <c r="A9" s="4">
        <v>45250.36572916667</v>
      </c>
      <c r="B9" s="7" t="s">
        <v>35</v>
      </c>
      <c r="C9" s="2">
        <v>1.0</v>
      </c>
      <c r="D9" s="2" t="s">
        <v>12</v>
      </c>
      <c r="E9" s="2" t="s">
        <v>28</v>
      </c>
    </row>
    <row r="10" ht="15.75" customHeight="1">
      <c r="A10" s="4">
        <v>45253.36052083333</v>
      </c>
      <c r="B10" s="2" t="s">
        <v>17</v>
      </c>
      <c r="C10" s="2">
        <v>1.0</v>
      </c>
      <c r="D10" s="2" t="s">
        <v>12</v>
      </c>
      <c r="E10" s="2" t="s">
        <v>37</v>
      </c>
    </row>
    <row r="11" ht="15.75" customHeight="1">
      <c r="A11" s="4">
        <v>45257.35086805555</v>
      </c>
      <c r="B11" s="2" t="s">
        <v>18</v>
      </c>
      <c r="C11" s="2">
        <v>1.0</v>
      </c>
      <c r="D11" s="2" t="s">
        <v>12</v>
      </c>
      <c r="E11" s="2" t="s">
        <v>38</v>
      </c>
    </row>
    <row r="12" ht="15.75" customHeight="1">
      <c r="A12" s="4">
        <v>45261.58855324074</v>
      </c>
      <c r="B12" s="7" t="s">
        <v>15</v>
      </c>
      <c r="C12" s="2">
        <v>1.0</v>
      </c>
      <c r="D12" s="2" t="s">
        <v>12</v>
      </c>
      <c r="E12" s="2" t="s">
        <v>39</v>
      </c>
    </row>
    <row r="13" ht="15.75" customHeight="1">
      <c r="A13" s="4">
        <v>45265.28581018518</v>
      </c>
      <c r="B13" s="2" t="s">
        <v>17</v>
      </c>
      <c r="C13" s="2">
        <v>1.0</v>
      </c>
      <c r="D13" s="2" t="s">
        <v>12</v>
      </c>
      <c r="E13" s="2" t="s">
        <v>32</v>
      </c>
    </row>
    <row r="14" ht="15.75" customHeight="1">
      <c r="A14" s="4">
        <v>45265.66373842592</v>
      </c>
      <c r="B14" s="7" t="s">
        <v>35</v>
      </c>
      <c r="C14" s="2">
        <v>1.0</v>
      </c>
      <c r="D14" s="2" t="s">
        <v>12</v>
      </c>
      <c r="E14" s="2"/>
    </row>
    <row r="15" ht="15.75" customHeight="1">
      <c r="A15" s="4">
        <v>45281.558020833334</v>
      </c>
      <c r="B15" s="7" t="s">
        <v>35</v>
      </c>
      <c r="C15" s="2">
        <v>1.0</v>
      </c>
      <c r="D15" s="2" t="s">
        <v>12</v>
      </c>
      <c r="E15" s="2" t="s">
        <v>41</v>
      </c>
    </row>
    <row r="16" ht="15.75" customHeight="1">
      <c r="A16" s="4">
        <v>45286.58033564815</v>
      </c>
      <c r="B16" s="7" t="s">
        <v>40</v>
      </c>
      <c r="C16" s="2">
        <v>25.0</v>
      </c>
      <c r="D16" s="2" t="s">
        <v>12</v>
      </c>
      <c r="E16" s="2"/>
    </row>
    <row r="17" ht="15.75" customHeight="1">
      <c r="A17" s="4">
        <v>45286.58179398148</v>
      </c>
      <c r="B17" s="7" t="s">
        <v>40</v>
      </c>
      <c r="C17" s="2">
        <v>5.0</v>
      </c>
      <c r="D17" s="2" t="s">
        <v>12</v>
      </c>
      <c r="E17" s="2"/>
    </row>
    <row r="18" ht="15.75" customHeight="1">
      <c r="A18" s="4">
        <v>45295.29371527778</v>
      </c>
      <c r="B18" s="7" t="s">
        <v>35</v>
      </c>
      <c r="C18" s="2">
        <v>1.0</v>
      </c>
      <c r="D18" s="2" t="s">
        <v>12</v>
      </c>
      <c r="E18" s="2" t="s">
        <v>41</v>
      </c>
    </row>
    <row r="19" ht="15.75" customHeight="1">
      <c r="A19" s="4">
        <v>45299.61366898148</v>
      </c>
      <c r="B19" s="2" t="s">
        <v>18</v>
      </c>
      <c r="C19" s="2">
        <v>1.0</v>
      </c>
      <c r="D19" s="2" t="s">
        <v>12</v>
      </c>
      <c r="E19" s="2" t="s">
        <v>42</v>
      </c>
    </row>
    <row r="20" ht="15.75" customHeight="1">
      <c r="A20" s="4">
        <v>45300.48501157408</v>
      </c>
      <c r="B20" s="2" t="s">
        <v>17</v>
      </c>
      <c r="C20" s="2">
        <v>3.0</v>
      </c>
      <c r="D20" s="2" t="s">
        <v>12</v>
      </c>
      <c r="E20" s="2" t="s">
        <v>43</v>
      </c>
    </row>
    <row r="21" ht="15.75" customHeight="1">
      <c r="A21" s="4">
        <v>45300.485925925925</v>
      </c>
      <c r="B21" s="7" t="s">
        <v>40</v>
      </c>
      <c r="C21" s="2">
        <v>20.0</v>
      </c>
      <c r="D21" s="2" t="s">
        <v>12</v>
      </c>
      <c r="E21" s="2"/>
    </row>
    <row r="22" ht="15.75" customHeight="1">
      <c r="A22" s="4">
        <v>45301.44930555556</v>
      </c>
      <c r="B22" s="7" t="s">
        <v>35</v>
      </c>
      <c r="C22" s="2">
        <v>1.0</v>
      </c>
      <c r="D22" s="2" t="s">
        <v>12</v>
      </c>
      <c r="E22" s="2" t="s">
        <v>45</v>
      </c>
    </row>
    <row r="23" ht="15.75" customHeight="1">
      <c r="A23" s="4">
        <v>45307.40658564815</v>
      </c>
      <c r="B23" s="7" t="s">
        <v>40</v>
      </c>
      <c r="C23" s="2">
        <v>30.0</v>
      </c>
      <c r="D23" s="2" t="s">
        <v>12</v>
      </c>
      <c r="E23" s="2" t="s">
        <v>46</v>
      </c>
    </row>
    <row r="24" ht="15.75" customHeight="1">
      <c r="A24" s="4">
        <v>45309.36754629629</v>
      </c>
      <c r="B24" s="2" t="s">
        <v>17</v>
      </c>
      <c r="C24" s="2">
        <v>1.0</v>
      </c>
      <c r="D24" s="2" t="s">
        <v>12</v>
      </c>
      <c r="E24" s="2"/>
    </row>
    <row r="25" ht="15.75" customHeight="1">
      <c r="A25" s="4">
        <v>45309.47505787037</v>
      </c>
      <c r="B25" s="7" t="s">
        <v>40</v>
      </c>
      <c r="C25" s="2">
        <v>20.0</v>
      </c>
      <c r="D25" s="2" t="s">
        <v>12</v>
      </c>
      <c r="E25" s="2" t="s">
        <v>49</v>
      </c>
    </row>
    <row r="26" ht="15.75" customHeight="1">
      <c r="A26" s="4">
        <v>45309.756423611114</v>
      </c>
      <c r="B26" s="2" t="s">
        <v>17</v>
      </c>
      <c r="C26" s="2">
        <v>1.0</v>
      </c>
      <c r="D26" s="2" t="s">
        <v>12</v>
      </c>
      <c r="E26" s="2"/>
    </row>
    <row r="27" ht="15.75" customHeight="1">
      <c r="A27" s="4">
        <v>45309.75671296296</v>
      </c>
      <c r="B27" s="2" t="s">
        <v>20</v>
      </c>
      <c r="C27" s="2">
        <v>1.0</v>
      </c>
      <c r="D27" s="2" t="s">
        <v>12</v>
      </c>
      <c r="E27" s="2" t="s">
        <v>50</v>
      </c>
    </row>
    <row r="28" ht="15.75" customHeight="1">
      <c r="A28" s="4">
        <v>45309.757256944446</v>
      </c>
      <c r="B28" s="2" t="s">
        <v>18</v>
      </c>
      <c r="C28" s="2">
        <v>1.0</v>
      </c>
      <c r="D28" s="2" t="s">
        <v>12</v>
      </c>
      <c r="E28" s="2" t="s">
        <v>51</v>
      </c>
    </row>
    <row r="29" ht="15.75" customHeight="1">
      <c r="A29" s="4">
        <v>45310.45438657407</v>
      </c>
      <c r="B29" s="2" t="s">
        <v>17</v>
      </c>
      <c r="C29" s="2">
        <v>1.0</v>
      </c>
      <c r="D29" s="2" t="s">
        <v>12</v>
      </c>
      <c r="E29" s="2" t="s">
        <v>52</v>
      </c>
    </row>
    <row r="30" ht="15.75" customHeight="1">
      <c r="A30" s="4">
        <v>45310.455671296295</v>
      </c>
      <c r="B30" s="7" t="s">
        <v>40</v>
      </c>
      <c r="C30" s="2">
        <v>10.0</v>
      </c>
      <c r="D30" s="2" t="s">
        <v>12</v>
      </c>
      <c r="E30" s="2"/>
    </row>
    <row r="31" ht="15.75" customHeight="1">
      <c r="A31" s="4">
        <v>45313.7828125</v>
      </c>
      <c r="B31" s="7" t="s">
        <v>44</v>
      </c>
      <c r="C31" s="2">
        <v>1.0</v>
      </c>
      <c r="D31" s="2" t="s">
        <v>12</v>
      </c>
      <c r="E31" s="2" t="s">
        <v>53</v>
      </c>
    </row>
    <row r="32" ht="15.75" customHeight="1">
      <c r="A32" s="4">
        <v>45329.35989583333</v>
      </c>
      <c r="B32" s="2" t="s">
        <v>18</v>
      </c>
      <c r="C32" s="2">
        <v>1.0</v>
      </c>
      <c r="D32" s="2" t="s">
        <v>12</v>
      </c>
      <c r="E32" s="2" t="s">
        <v>54</v>
      </c>
    </row>
    <row r="33" ht="15.75" customHeight="1">
      <c r="A33" s="4">
        <v>45331.43746527778</v>
      </c>
      <c r="B33" s="2" t="s">
        <v>17</v>
      </c>
      <c r="C33" s="2">
        <v>2.0</v>
      </c>
      <c r="D33" s="2" t="s">
        <v>12</v>
      </c>
      <c r="E33" s="2"/>
    </row>
    <row r="34" ht="15.75" customHeight="1">
      <c r="A34" s="4">
        <v>45332.447916666664</v>
      </c>
      <c r="B34" s="2" t="s">
        <v>18</v>
      </c>
      <c r="C34" s="2">
        <v>1.0</v>
      </c>
      <c r="D34" s="2" t="s">
        <v>12</v>
      </c>
      <c r="E34" s="2" t="s">
        <v>55</v>
      </c>
    </row>
    <row r="35" ht="15.75" customHeight="1">
      <c r="A35" s="4">
        <v>45334.44944444444</v>
      </c>
      <c r="B35" s="7" t="s">
        <v>40</v>
      </c>
      <c r="C35" s="2">
        <v>2.0</v>
      </c>
      <c r="D35" s="2" t="s">
        <v>12</v>
      </c>
      <c r="E35" s="2"/>
    </row>
    <row r="36" ht="15.75" customHeight="1">
      <c r="A36" s="4">
        <v>45334.4522337963</v>
      </c>
      <c r="B36" s="7" t="s">
        <v>44</v>
      </c>
      <c r="C36" s="2">
        <v>1.0</v>
      </c>
      <c r="D36" s="2" t="s">
        <v>12</v>
      </c>
      <c r="E36" s="2"/>
    </row>
    <row r="37" ht="15.75" customHeight="1">
      <c r="A37" s="4">
        <v>45343.54340277778</v>
      </c>
      <c r="B37" s="2" t="s">
        <v>17</v>
      </c>
      <c r="C37" s="2">
        <v>1.0</v>
      </c>
      <c r="D37" s="2" t="s">
        <v>12</v>
      </c>
      <c r="E37" s="2" t="s">
        <v>56</v>
      </c>
    </row>
    <row r="38" ht="15.75" customHeight="1">
      <c r="A38" s="4">
        <v>45344.734444444446</v>
      </c>
      <c r="B38" s="7" t="s">
        <v>33</v>
      </c>
      <c r="C38" s="2">
        <v>1.0</v>
      </c>
      <c r="D38" s="2" t="s">
        <v>12</v>
      </c>
      <c r="E38" s="2"/>
    </row>
    <row r="39" ht="15.75" customHeight="1">
      <c r="A39" s="4">
        <v>45345.36934027778</v>
      </c>
      <c r="B39" s="2" t="s">
        <v>17</v>
      </c>
      <c r="C39" s="2">
        <v>1.0</v>
      </c>
      <c r="D39" s="2" t="s">
        <v>12</v>
      </c>
      <c r="E39" s="2" t="s">
        <v>57</v>
      </c>
    </row>
    <row r="40" ht="15.75" customHeight="1">
      <c r="A40" s="4">
        <v>45346.35611111111</v>
      </c>
      <c r="B40" s="2" t="s">
        <v>18</v>
      </c>
      <c r="C40" s="2">
        <v>1.0</v>
      </c>
      <c r="D40" s="2" t="s">
        <v>12</v>
      </c>
      <c r="E40" s="2" t="s">
        <v>58</v>
      </c>
    </row>
    <row r="41" ht="15.75" customHeight="1">
      <c r="A41" s="4">
        <v>45349.342627314814</v>
      </c>
      <c r="B41" s="2" t="s">
        <v>17</v>
      </c>
      <c r="C41" s="2">
        <v>1.0</v>
      </c>
      <c r="D41" s="2" t="s">
        <v>12</v>
      </c>
      <c r="E41" s="2" t="s">
        <v>60</v>
      </c>
    </row>
    <row r="42" ht="15.75" customHeight="1">
      <c r="A42" s="4">
        <v>45349.378483796296</v>
      </c>
      <c r="B42" s="2" t="s">
        <v>20</v>
      </c>
      <c r="C42" s="2">
        <v>1.0</v>
      </c>
      <c r="D42" s="2" t="s">
        <v>12</v>
      </c>
      <c r="E42" s="2" t="s">
        <v>64</v>
      </c>
    </row>
    <row r="43" ht="15.75" customHeight="1">
      <c r="A43" s="4">
        <v>45355.35240740741</v>
      </c>
      <c r="B43" s="7" t="s">
        <v>65</v>
      </c>
      <c r="C43" s="2">
        <v>1.0</v>
      </c>
      <c r="D43" s="2" t="s">
        <v>12</v>
      </c>
      <c r="E43" s="2"/>
    </row>
    <row r="44" ht="15.75" customHeight="1">
      <c r="A44" s="4">
        <v>45355.352858796294</v>
      </c>
      <c r="B44" s="2" t="s">
        <v>17</v>
      </c>
      <c r="C44" s="2">
        <v>1.0</v>
      </c>
      <c r="D44" s="2" t="s">
        <v>12</v>
      </c>
      <c r="E44" s="2" t="s">
        <v>66</v>
      </c>
    </row>
    <row r="45" ht="15.75" customHeight="1">
      <c r="A45" s="4">
        <v>45362.60460648148</v>
      </c>
      <c r="B45" s="7" t="s">
        <v>35</v>
      </c>
      <c r="C45" s="2">
        <v>1.0</v>
      </c>
      <c r="D45" s="2" t="s">
        <v>12</v>
      </c>
      <c r="E45" s="2" t="s">
        <v>41</v>
      </c>
    </row>
    <row r="46" ht="15.75" customHeight="1">
      <c r="A46" s="4">
        <v>45364.39608796296</v>
      </c>
      <c r="B46" s="2" t="s">
        <v>18</v>
      </c>
      <c r="C46" s="2">
        <v>1.0</v>
      </c>
      <c r="D46" s="2" t="s">
        <v>12</v>
      </c>
      <c r="E46" s="2" t="s">
        <v>55</v>
      </c>
    </row>
    <row r="47" ht="15.75" customHeight="1">
      <c r="A47" s="4">
        <v>45367.71034722222</v>
      </c>
      <c r="B47" s="2" t="s">
        <v>18</v>
      </c>
      <c r="C47" s="2">
        <v>1.0</v>
      </c>
      <c r="D47" s="2" t="s">
        <v>12</v>
      </c>
      <c r="E47" s="2" t="s">
        <v>67</v>
      </c>
    </row>
    <row r="48" ht="15.75" customHeight="1">
      <c r="A48" s="4">
        <v>45372.57900462963</v>
      </c>
      <c r="B48" s="2" t="s">
        <v>20</v>
      </c>
      <c r="C48" s="2">
        <v>1.0</v>
      </c>
      <c r="D48" s="2" t="s">
        <v>12</v>
      </c>
      <c r="E48" s="2" t="s">
        <v>49</v>
      </c>
    </row>
    <row r="49" ht="15.75" customHeight="1">
      <c r="A49" s="4">
        <v>45383.35269675926</v>
      </c>
      <c r="B49" s="2" t="s">
        <v>17</v>
      </c>
      <c r="C49" s="2">
        <v>1.0</v>
      </c>
      <c r="D49" s="2" t="s">
        <v>12</v>
      </c>
      <c r="E49" s="2" t="s">
        <v>68</v>
      </c>
    </row>
    <row r="50" ht="15.75" customHeight="1">
      <c r="A50" s="4">
        <v>45386.32456018519</v>
      </c>
      <c r="B50" s="7" t="s">
        <v>69</v>
      </c>
      <c r="C50" s="2">
        <v>1.0</v>
      </c>
      <c r="D50" s="2" t="s">
        <v>12</v>
      </c>
      <c r="E50" s="2"/>
    </row>
    <row r="51" ht="15.75" customHeight="1">
      <c r="A51" s="4">
        <v>45386.43162037037</v>
      </c>
      <c r="B51" s="2" t="s">
        <v>17</v>
      </c>
      <c r="C51" s="2">
        <v>1.0</v>
      </c>
      <c r="D51" s="2" t="s">
        <v>12</v>
      </c>
      <c r="E51" s="2" t="s">
        <v>70</v>
      </c>
    </row>
    <row r="52" ht="15.75" customHeight="1">
      <c r="A52" s="4">
        <v>45387.30180555556</v>
      </c>
      <c r="B52" s="7" t="s">
        <v>71</v>
      </c>
      <c r="C52" s="2">
        <v>1.0</v>
      </c>
      <c r="D52" s="2" t="s">
        <v>12</v>
      </c>
      <c r="E52" s="2" t="s">
        <v>72</v>
      </c>
    </row>
    <row r="53" ht="15.75" customHeight="1">
      <c r="A53" s="4">
        <v>45388.374872685185</v>
      </c>
      <c r="B53" s="2" t="s">
        <v>17</v>
      </c>
      <c r="C53" s="2">
        <v>1.0</v>
      </c>
      <c r="D53" s="2" t="s">
        <v>12</v>
      </c>
      <c r="E53" s="2" t="s">
        <v>57</v>
      </c>
    </row>
    <row r="54" ht="15.75" customHeight="1">
      <c r="A54" s="4">
        <v>45399.39434027778</v>
      </c>
      <c r="B54" s="2" t="s">
        <v>18</v>
      </c>
      <c r="C54" s="2">
        <v>1.0</v>
      </c>
      <c r="D54" s="2" t="s">
        <v>12</v>
      </c>
      <c r="E54" s="2"/>
    </row>
    <row r="55" ht="15.75" customHeight="1">
      <c r="A55" s="4">
        <v>45399.39545138889</v>
      </c>
      <c r="B55" s="2" t="s">
        <v>18</v>
      </c>
      <c r="C55" s="2">
        <v>1.0</v>
      </c>
      <c r="D55" s="2" t="s">
        <v>12</v>
      </c>
      <c r="E55" s="2" t="s">
        <v>58</v>
      </c>
    </row>
    <row r="56" ht="15.75" customHeight="1">
      <c r="A56" s="4">
        <v>45404.340219907404</v>
      </c>
      <c r="B56" s="7" t="s">
        <v>44</v>
      </c>
      <c r="C56" s="2">
        <v>1.0</v>
      </c>
      <c r="D56" s="2" t="s">
        <v>12</v>
      </c>
      <c r="E56" s="2" t="s">
        <v>76</v>
      </c>
    </row>
    <row r="57" ht="15.75" customHeight="1">
      <c r="A57" s="4">
        <v>45405.38449074074</v>
      </c>
      <c r="B57" s="7" t="s">
        <v>77</v>
      </c>
      <c r="C57" s="2">
        <v>1.0</v>
      </c>
      <c r="D57" s="2" t="s">
        <v>12</v>
      </c>
      <c r="E57" s="2" t="s">
        <v>78</v>
      </c>
    </row>
    <row r="58" ht="15.75" customHeight="1">
      <c r="A58" s="4">
        <v>45406.56186342592</v>
      </c>
      <c r="B58" s="7" t="s">
        <v>15</v>
      </c>
      <c r="C58" s="2">
        <v>1.0</v>
      </c>
      <c r="D58" s="2" t="s">
        <v>12</v>
      </c>
      <c r="E58" s="2"/>
    </row>
    <row r="59" ht="15.75" customHeight="1">
      <c r="A59" s="4">
        <v>45407.37342592593</v>
      </c>
      <c r="B59" s="7" t="s">
        <v>35</v>
      </c>
      <c r="C59" s="2">
        <v>1.0</v>
      </c>
      <c r="D59" s="2" t="s">
        <v>12</v>
      </c>
      <c r="E59" s="2" t="s">
        <v>41</v>
      </c>
    </row>
    <row r="60" ht="15.75" customHeight="1">
      <c r="A60" s="4">
        <v>45407.37652777778</v>
      </c>
      <c r="B60" s="7" t="s">
        <v>44</v>
      </c>
      <c r="C60" s="2">
        <v>1.0</v>
      </c>
      <c r="D60" s="2" t="s">
        <v>12</v>
      </c>
      <c r="E60" s="2"/>
    </row>
    <row r="61" ht="15.75" customHeight="1">
      <c r="A61" s="4">
        <v>45409.33920138889</v>
      </c>
      <c r="B61" s="2" t="s">
        <v>17</v>
      </c>
      <c r="C61" s="2">
        <v>1.0</v>
      </c>
      <c r="D61" s="2" t="s">
        <v>12</v>
      </c>
      <c r="E61" s="2" t="s">
        <v>39</v>
      </c>
    </row>
    <row r="62" ht="15.75" customHeight="1">
      <c r="A62" s="4">
        <v>45409.396006944444</v>
      </c>
      <c r="B62" s="2" t="s">
        <v>17</v>
      </c>
      <c r="C62" s="2">
        <v>1.0</v>
      </c>
      <c r="D62" s="2" t="s">
        <v>12</v>
      </c>
      <c r="E62" s="2" t="s">
        <v>41</v>
      </c>
    </row>
    <row r="63" ht="15.75" customHeight="1">
      <c r="A63" s="4">
        <v>45412.341203703705</v>
      </c>
      <c r="B63" s="2" t="s">
        <v>18</v>
      </c>
      <c r="C63" s="2">
        <v>1.0</v>
      </c>
      <c r="D63" s="2" t="s">
        <v>12</v>
      </c>
      <c r="E63" s="2" t="s">
        <v>84</v>
      </c>
    </row>
    <row r="64" ht="15.75" customHeight="1">
      <c r="A64" s="4">
        <v>45418.34496527778</v>
      </c>
      <c r="B64" s="7" t="s">
        <v>15</v>
      </c>
      <c r="C64" s="2">
        <v>1.0</v>
      </c>
      <c r="D64" s="2" t="s">
        <v>12</v>
      </c>
      <c r="E64" s="2"/>
    </row>
    <row r="65" ht="15.75" customHeight="1">
      <c r="A65" s="4">
        <v>45418.368796296294</v>
      </c>
      <c r="B65" s="7" t="s">
        <v>33</v>
      </c>
      <c r="C65" s="2">
        <v>1.0</v>
      </c>
      <c r="D65" s="2" t="s">
        <v>12</v>
      </c>
      <c r="E65" s="2"/>
    </row>
    <row r="66" ht="15.75" customHeight="1">
      <c r="A66" s="4">
        <v>45420.34391203704</v>
      </c>
      <c r="B66" s="2" t="s">
        <v>17</v>
      </c>
      <c r="C66" s="2">
        <v>1.0</v>
      </c>
      <c r="D66" s="2" t="s">
        <v>12</v>
      </c>
      <c r="E66" s="2"/>
    </row>
    <row r="67" ht="15.75" customHeight="1">
      <c r="A67" s="4">
        <v>45420.34423611111</v>
      </c>
      <c r="B67" s="7" t="s">
        <v>40</v>
      </c>
      <c r="C67" s="2">
        <v>40.0</v>
      </c>
      <c r="D67" s="2" t="s">
        <v>12</v>
      </c>
      <c r="E67" s="2" t="s">
        <v>93</v>
      </c>
    </row>
    <row r="68" ht="15.75" customHeight="1">
      <c r="A68" s="4">
        <v>45421.551782407405</v>
      </c>
      <c r="B68" s="7" t="s">
        <v>71</v>
      </c>
      <c r="C68" s="2">
        <v>1.0</v>
      </c>
      <c r="D68" s="2" t="s">
        <v>12</v>
      </c>
      <c r="E68" s="2"/>
    </row>
    <row r="69" ht="15.75" customHeight="1">
      <c r="A69" s="4">
        <v>45422.55400462963</v>
      </c>
      <c r="B69" s="2" t="s">
        <v>20</v>
      </c>
      <c r="C69" s="2">
        <v>1.0</v>
      </c>
      <c r="D69" s="2" t="s">
        <v>12</v>
      </c>
      <c r="E69" s="2" t="s">
        <v>96</v>
      </c>
    </row>
    <row r="70" ht="15.75" customHeight="1">
      <c r="A70" s="4">
        <v>45425.768125</v>
      </c>
      <c r="B70" s="2" t="s">
        <v>17</v>
      </c>
      <c r="C70" s="2">
        <v>1.0</v>
      </c>
      <c r="D70" s="2" t="s">
        <v>12</v>
      </c>
      <c r="E70" s="2" t="s">
        <v>70</v>
      </c>
    </row>
    <row r="71" ht="15.75" customHeight="1">
      <c r="A71" s="4">
        <v>45427.31086805555</v>
      </c>
      <c r="B71" s="2" t="s">
        <v>17</v>
      </c>
      <c r="C71" s="2">
        <v>1.0</v>
      </c>
      <c r="D71" s="2" t="s">
        <v>12</v>
      </c>
      <c r="E71" s="2" t="s">
        <v>56</v>
      </c>
    </row>
    <row r="72" ht="15.75" customHeight="1">
      <c r="A72" s="4">
        <v>45430.4340625</v>
      </c>
      <c r="B72" s="7" t="s">
        <v>40</v>
      </c>
      <c r="C72" s="2">
        <v>20.0</v>
      </c>
      <c r="D72" s="2" t="s">
        <v>12</v>
      </c>
      <c r="E72" s="2" t="s">
        <v>101</v>
      </c>
    </row>
    <row r="73" ht="15.75" customHeight="1">
      <c r="A73" s="4">
        <v>45430.662673611114</v>
      </c>
      <c r="B73" s="2" t="s">
        <v>17</v>
      </c>
      <c r="C73" s="2">
        <v>1.0</v>
      </c>
      <c r="D73" s="2" t="s">
        <v>12</v>
      </c>
      <c r="E73" s="2"/>
    </row>
    <row r="74" ht="15.75" customHeight="1">
      <c r="A74" s="4">
        <v>45437.37273148148</v>
      </c>
      <c r="B74" s="7" t="s">
        <v>40</v>
      </c>
      <c r="C74" s="2">
        <v>20.0</v>
      </c>
      <c r="D74" s="2" t="s">
        <v>12</v>
      </c>
      <c r="E74" s="2" t="s">
        <v>49</v>
      </c>
    </row>
    <row r="75" ht="15.75" customHeight="1">
      <c r="A75" s="4">
        <v>45437.392384259256</v>
      </c>
      <c r="B75" s="2" t="s">
        <v>18</v>
      </c>
      <c r="C75" s="2">
        <v>1.0</v>
      </c>
      <c r="D75" s="2" t="s">
        <v>12</v>
      </c>
      <c r="E75" s="2" t="s">
        <v>105</v>
      </c>
    </row>
    <row r="76" ht="15.75" customHeight="1">
      <c r="A76" s="4">
        <v>45441.56481481482</v>
      </c>
      <c r="B76" s="7" t="s">
        <v>44</v>
      </c>
      <c r="C76" s="2">
        <v>1.0</v>
      </c>
      <c r="D76" s="2" t="s">
        <v>12</v>
      </c>
      <c r="E76" s="2"/>
    </row>
    <row r="77" ht="15.75" customHeight="1">
      <c r="A77" s="4">
        <v>45441.56501157407</v>
      </c>
      <c r="B77" s="7" t="s">
        <v>40</v>
      </c>
      <c r="C77" s="2">
        <v>10.0</v>
      </c>
      <c r="D77" s="2" t="s">
        <v>12</v>
      </c>
      <c r="E77" s="2"/>
    </row>
    <row r="78" ht="15.75" customHeight="1">
      <c r="A78" s="4">
        <v>45444.400555555556</v>
      </c>
      <c r="B78" s="2" t="s">
        <v>17</v>
      </c>
      <c r="C78" s="2">
        <v>1.0</v>
      </c>
      <c r="D78" s="2" t="s">
        <v>12</v>
      </c>
      <c r="E78" s="2"/>
    </row>
    <row r="79" ht="15.75" customHeight="1">
      <c r="A79" s="4">
        <v>45444.40158564815</v>
      </c>
      <c r="B79" s="7" t="s">
        <v>40</v>
      </c>
      <c r="C79" s="2">
        <v>30.0</v>
      </c>
      <c r="D79" s="2" t="s">
        <v>12</v>
      </c>
      <c r="E79" s="2" t="s">
        <v>111</v>
      </c>
    </row>
    <row r="80" ht="15.75" customHeight="1">
      <c r="A80" s="4">
        <v>45449.367893518516</v>
      </c>
      <c r="B80" s="7" t="s">
        <v>71</v>
      </c>
      <c r="C80" s="2">
        <v>1.0</v>
      </c>
      <c r="D80" s="2" t="s">
        <v>12</v>
      </c>
      <c r="E80" s="2"/>
    </row>
    <row r="81" ht="15.75" customHeight="1">
      <c r="A81" s="4">
        <v>45449.36824074074</v>
      </c>
      <c r="B81" s="7" t="s">
        <v>40</v>
      </c>
      <c r="C81" s="2">
        <v>20.0</v>
      </c>
      <c r="D81" s="2" t="s">
        <v>12</v>
      </c>
      <c r="E81" s="2"/>
    </row>
    <row r="82" ht="15.75" customHeight="1">
      <c r="A82" s="4">
        <v>45460.68539351852</v>
      </c>
      <c r="B82" s="2" t="s">
        <v>17</v>
      </c>
      <c r="C82" s="2">
        <v>1.0</v>
      </c>
      <c r="D82" s="2" t="s">
        <v>12</v>
      </c>
      <c r="E82" s="2" t="s">
        <v>115</v>
      </c>
    </row>
    <row r="83" ht="15.75" customHeight="1">
      <c r="A83" s="4">
        <v>45468.58584490741</v>
      </c>
      <c r="B83" s="7" t="s">
        <v>40</v>
      </c>
      <c r="C83" s="2">
        <v>20.0</v>
      </c>
      <c r="D83" s="2" t="s">
        <v>12</v>
      </c>
      <c r="E83" s="2" t="s">
        <v>118</v>
      </c>
    </row>
    <row r="84" ht="15.75" customHeight="1">
      <c r="A84" s="4">
        <v>45471.463159722225</v>
      </c>
      <c r="B84" s="7" t="s">
        <v>40</v>
      </c>
      <c r="C84" s="2">
        <v>20.0</v>
      </c>
      <c r="D84" s="2" t="s">
        <v>12</v>
      </c>
      <c r="E84" s="2" t="s">
        <v>120</v>
      </c>
    </row>
    <row r="85" ht="15.75" customHeight="1">
      <c r="A85" s="4">
        <v>45472.34810185185</v>
      </c>
      <c r="B85" s="2" t="s">
        <v>17</v>
      </c>
      <c r="C85" s="2">
        <v>1.0</v>
      </c>
      <c r="D85" s="2" t="s">
        <v>12</v>
      </c>
      <c r="E85" s="2"/>
    </row>
    <row r="86" ht="15.75" customHeight="1">
      <c r="A86" s="4">
        <v>45474.456458333334</v>
      </c>
      <c r="B86" s="2" t="s">
        <v>17</v>
      </c>
      <c r="C86" s="2">
        <v>1.0</v>
      </c>
      <c r="D86" s="2" t="s">
        <v>12</v>
      </c>
      <c r="E86" s="2" t="s">
        <v>123</v>
      </c>
    </row>
    <row r="87" ht="15.75" customHeight="1">
      <c r="A87" s="4">
        <v>45475.41587962963</v>
      </c>
      <c r="B87" s="7" t="s">
        <v>24</v>
      </c>
      <c r="C87" s="2">
        <v>1.0</v>
      </c>
      <c r="D87" s="2" t="s">
        <v>12</v>
      </c>
      <c r="E87" s="2"/>
    </row>
    <row r="88" ht="15.75" customHeight="1">
      <c r="A88" s="4">
        <v>45478.37050925926</v>
      </c>
      <c r="B88" s="7" t="s">
        <v>69</v>
      </c>
      <c r="C88" s="2">
        <v>1.0</v>
      </c>
      <c r="D88" s="2" t="s">
        <v>12</v>
      </c>
      <c r="E88" s="2" t="s">
        <v>128</v>
      </c>
    </row>
    <row r="89" ht="15.75" customHeight="1">
      <c r="A89" s="4">
        <v>45485.39959490741</v>
      </c>
      <c r="B89" s="2" t="s">
        <v>17</v>
      </c>
      <c r="C89" s="2">
        <v>1.0</v>
      </c>
      <c r="D89" s="2" t="s">
        <v>12</v>
      </c>
      <c r="E89" s="2" t="s">
        <v>132</v>
      </c>
    </row>
    <row r="90" ht="15.75" customHeight="1">
      <c r="A90" s="4">
        <v>45485.44678240741</v>
      </c>
      <c r="B90" s="7" t="s">
        <v>40</v>
      </c>
      <c r="C90" s="2">
        <v>10.0</v>
      </c>
      <c r="D90" s="2" t="s">
        <v>12</v>
      </c>
      <c r="E90" s="2" t="s">
        <v>96</v>
      </c>
    </row>
    <row r="91" ht="15.75" customHeight="1">
      <c r="A91" s="4">
        <v>45486.33068287037</v>
      </c>
      <c r="B91" s="2" t="s">
        <v>17</v>
      </c>
      <c r="C91" s="2">
        <v>1.0</v>
      </c>
      <c r="D91" s="2" t="s">
        <v>12</v>
      </c>
      <c r="E91" s="2" t="s">
        <v>135</v>
      </c>
    </row>
    <row r="92" ht="15.75" customHeight="1">
      <c r="A92" s="4">
        <v>45488.36851851852</v>
      </c>
      <c r="B92" s="2" t="s">
        <v>17</v>
      </c>
      <c r="C92" s="2">
        <v>1.0</v>
      </c>
      <c r="D92" s="2" t="s">
        <v>12</v>
      </c>
      <c r="E92" s="2" t="s">
        <v>137</v>
      </c>
    </row>
    <row r="93" ht="15.75" customHeight="1">
      <c r="A93" s="4">
        <v>45490.36572916667</v>
      </c>
      <c r="B93" s="2" t="s">
        <v>20</v>
      </c>
      <c r="C93" s="2">
        <v>1.0</v>
      </c>
      <c r="D93" s="2" t="s">
        <v>12</v>
      </c>
      <c r="E93" s="2" t="s">
        <v>138</v>
      </c>
    </row>
    <row r="94" ht="15.75" customHeight="1">
      <c r="A94" s="4">
        <v>45490.58456018518</v>
      </c>
      <c r="B94" s="2" t="s">
        <v>18</v>
      </c>
      <c r="C94" s="2">
        <v>1.0</v>
      </c>
      <c r="D94" s="2" t="s">
        <v>12</v>
      </c>
      <c r="E94" s="2" t="s">
        <v>139</v>
      </c>
    </row>
    <row r="95" ht="15.75" customHeight="1">
      <c r="A95" s="4">
        <v>45495.34275462963</v>
      </c>
      <c r="B95" s="7" t="s">
        <v>33</v>
      </c>
      <c r="C95" s="2">
        <v>1.0</v>
      </c>
      <c r="D95" s="2" t="s">
        <v>12</v>
      </c>
      <c r="E95" s="2"/>
    </row>
    <row r="96" ht="15.75" customHeight="1">
      <c r="A96" s="4">
        <v>45495.44464120371</v>
      </c>
      <c r="B96" s="7" t="s">
        <v>15</v>
      </c>
      <c r="C96" s="2">
        <v>1.0</v>
      </c>
      <c r="D96" s="2" t="s">
        <v>12</v>
      </c>
      <c r="E96" s="2" t="s">
        <v>132</v>
      </c>
    </row>
    <row r="97" ht="15.75" customHeight="1">
      <c r="A97" s="4">
        <v>45495.64991898148</v>
      </c>
      <c r="B97" s="7" t="s">
        <v>15</v>
      </c>
      <c r="C97" s="2">
        <v>1.0</v>
      </c>
      <c r="D97" s="2" t="s">
        <v>12</v>
      </c>
      <c r="E97" s="2"/>
    </row>
    <row r="98" ht="15.75" customHeight="1">
      <c r="A98" s="4">
        <v>45500.35377314815</v>
      </c>
      <c r="B98" s="7" t="s">
        <v>65</v>
      </c>
      <c r="C98" s="2">
        <v>1.0</v>
      </c>
      <c r="D98" s="2" t="s">
        <v>12</v>
      </c>
      <c r="E98" s="2"/>
    </row>
    <row r="99" ht="15.75" customHeight="1">
      <c r="A99" s="4">
        <v>45503.37783564815</v>
      </c>
      <c r="B99" s="7" t="s">
        <v>35</v>
      </c>
      <c r="C99" s="2">
        <v>1.0</v>
      </c>
      <c r="D99" s="2" t="s">
        <v>12</v>
      </c>
      <c r="E99" s="2" t="s">
        <v>123</v>
      </c>
    </row>
    <row r="100" ht="15.75" customHeight="1">
      <c r="A100" s="4">
        <v>45509.345717592594</v>
      </c>
      <c r="B100" s="2" t="s">
        <v>20</v>
      </c>
      <c r="C100" s="2">
        <v>2.0</v>
      </c>
      <c r="D100" s="2" t="s">
        <v>12</v>
      </c>
      <c r="E100" s="2" t="s">
        <v>141</v>
      </c>
    </row>
    <row r="101" ht="15.75" customHeight="1">
      <c r="A101" s="4">
        <v>45509.47515046296</v>
      </c>
      <c r="B101" s="7" t="s">
        <v>40</v>
      </c>
      <c r="C101" s="2">
        <v>20.0</v>
      </c>
      <c r="D101" s="2" t="s">
        <v>12</v>
      </c>
      <c r="E101" s="2"/>
    </row>
    <row r="102" ht="15.75" customHeight="1">
      <c r="A102" s="4">
        <v>45518.747349537036</v>
      </c>
      <c r="B102" s="2" t="s">
        <v>17</v>
      </c>
      <c r="C102" s="2">
        <v>1.0</v>
      </c>
      <c r="D102" s="2" t="s">
        <v>12</v>
      </c>
      <c r="E102" s="2"/>
    </row>
    <row r="103" ht="15.75" customHeight="1">
      <c r="A103" s="17">
        <v>46179.47145833333</v>
      </c>
      <c r="B103" s="18" t="s">
        <v>147</v>
      </c>
      <c r="C103" s="19">
        <v>1.0</v>
      </c>
      <c r="D103" s="19" t="s">
        <v>79</v>
      </c>
      <c r="E103" s="2"/>
    </row>
    <row r="104" ht="15.75" customHeight="1">
      <c r="A104" s="17">
        <v>46183.39203703704</v>
      </c>
      <c r="B104" s="18" t="s">
        <v>95</v>
      </c>
      <c r="C104" s="19">
        <v>1.0</v>
      </c>
      <c r="D104" s="19" t="s">
        <v>79</v>
      </c>
      <c r="E104" s="19" t="s">
        <v>151</v>
      </c>
    </row>
    <row r="105" ht="15.75" customHeight="1">
      <c r="A105" s="17">
        <v>46183.39710648148</v>
      </c>
      <c r="B105" s="18" t="s">
        <v>106</v>
      </c>
      <c r="C105" s="19">
        <v>1.0</v>
      </c>
      <c r="D105" s="19" t="s">
        <v>79</v>
      </c>
      <c r="E105" s="19" t="s">
        <v>151</v>
      </c>
    </row>
    <row r="106" ht="15.75" customHeight="1">
      <c r="A106" s="17">
        <v>46193.462164351855</v>
      </c>
      <c r="B106" s="19" t="s">
        <v>154</v>
      </c>
      <c r="C106" s="19">
        <v>6.0</v>
      </c>
      <c r="D106" s="19" t="s">
        <v>79</v>
      </c>
      <c r="E106" s="19" t="s">
        <v>155</v>
      </c>
    </row>
    <row r="107" ht="15.75" customHeight="1">
      <c r="A107" s="17">
        <v>46193.462916666664</v>
      </c>
      <c r="B107" s="19" t="s">
        <v>134</v>
      </c>
      <c r="C107" s="19">
        <v>6.0</v>
      </c>
      <c r="D107" s="19" t="s">
        <v>79</v>
      </c>
      <c r="E107" s="19" t="s">
        <v>155</v>
      </c>
    </row>
    <row r="108" ht="15.75" customHeight="1">
      <c r="A108" s="17">
        <v>46193.48060185185</v>
      </c>
      <c r="B108" s="19" t="s">
        <v>154</v>
      </c>
      <c r="C108" s="19">
        <v>1.0</v>
      </c>
      <c r="D108" s="19" t="s">
        <v>79</v>
      </c>
      <c r="E108" s="19" t="s">
        <v>158</v>
      </c>
    </row>
    <row r="109" ht="15.75" customHeight="1">
      <c r="A109" s="17">
        <v>46193.67087962963</v>
      </c>
      <c r="B109" s="19" t="s">
        <v>87</v>
      </c>
      <c r="C109" s="19">
        <v>3.0</v>
      </c>
      <c r="D109" s="19" t="s">
        <v>79</v>
      </c>
      <c r="E109" s="19" t="s">
        <v>160</v>
      </c>
    </row>
    <row r="110" ht="15.75" customHeight="1">
      <c r="A110" s="17">
        <v>46193.671331018515</v>
      </c>
      <c r="B110" s="18" t="s">
        <v>102</v>
      </c>
      <c r="C110" s="19">
        <v>3.0</v>
      </c>
      <c r="D110" s="19" t="s">
        <v>79</v>
      </c>
      <c r="E110" s="19" t="s">
        <v>160</v>
      </c>
    </row>
    <row r="111" ht="15.75" customHeight="1">
      <c r="A111" s="17">
        <v>46195.355833333335</v>
      </c>
      <c r="B111" s="19" t="s">
        <v>87</v>
      </c>
      <c r="C111" s="19">
        <v>3.0</v>
      </c>
      <c r="D111" s="19" t="s">
        <v>79</v>
      </c>
      <c r="E111" s="19" t="s">
        <v>163</v>
      </c>
    </row>
    <row r="112" ht="15.75" customHeight="1">
      <c r="A112" s="17">
        <v>46195.36336805556</v>
      </c>
      <c r="B112" s="18" t="s">
        <v>102</v>
      </c>
      <c r="C112" s="19">
        <v>18.0</v>
      </c>
      <c r="D112" s="19" t="s">
        <v>79</v>
      </c>
      <c r="E112" s="2"/>
    </row>
    <row r="113" ht="15.75" customHeight="1">
      <c r="A113" s="17">
        <v>46195.3933912037</v>
      </c>
      <c r="B113" s="18" t="s">
        <v>124</v>
      </c>
      <c r="C113" s="19">
        <v>1.0</v>
      </c>
      <c r="D113" s="19" t="s">
        <v>79</v>
      </c>
      <c r="E113" s="2"/>
    </row>
    <row r="114" ht="15.75" customHeight="1">
      <c r="A114" s="17">
        <v>46198.35775462963</v>
      </c>
      <c r="B114" s="19" t="s">
        <v>87</v>
      </c>
      <c r="C114" s="19">
        <v>2.0</v>
      </c>
      <c r="D114" s="19" t="s">
        <v>79</v>
      </c>
      <c r="E114" s="19" t="s">
        <v>168</v>
      </c>
    </row>
    <row r="115" ht="15.75" customHeight="1">
      <c r="A115" s="17">
        <v>46198.43928240741</v>
      </c>
      <c r="B115" s="19" t="s">
        <v>154</v>
      </c>
      <c r="C115" s="19">
        <v>7.0</v>
      </c>
      <c r="D115" s="19" t="s">
        <v>79</v>
      </c>
      <c r="E115" s="19" t="s">
        <v>171</v>
      </c>
    </row>
    <row r="116" ht="15.75" customHeight="1">
      <c r="A116" s="17">
        <v>46198.45400462963</v>
      </c>
      <c r="B116" s="19" t="s">
        <v>85</v>
      </c>
      <c r="C116" s="19">
        <v>4.0</v>
      </c>
      <c r="D116" s="19" t="s">
        <v>79</v>
      </c>
      <c r="E116" s="19" t="s">
        <v>173</v>
      </c>
    </row>
    <row r="117" ht="15.75" customHeight="1">
      <c r="A117" s="17">
        <v>46198.45446759259</v>
      </c>
      <c r="B117" s="18" t="s">
        <v>108</v>
      </c>
      <c r="C117" s="19">
        <v>1.0</v>
      </c>
      <c r="D117" s="19" t="s">
        <v>79</v>
      </c>
      <c r="E117" s="19" t="s">
        <v>174</v>
      </c>
    </row>
    <row r="118" ht="15.75" customHeight="1">
      <c r="A118" s="17">
        <v>46200.429502314815</v>
      </c>
      <c r="B118" s="19" t="s">
        <v>154</v>
      </c>
      <c r="C118" s="19">
        <v>5.0</v>
      </c>
      <c r="D118" s="19" t="s">
        <v>79</v>
      </c>
      <c r="E118" s="19" t="s">
        <v>176</v>
      </c>
    </row>
    <row r="119" ht="15.75" customHeight="1">
      <c r="A119" s="17">
        <v>46200.42996527778</v>
      </c>
      <c r="B119" s="19" t="s">
        <v>134</v>
      </c>
      <c r="C119" s="19">
        <v>8.0</v>
      </c>
      <c r="D119" s="19" t="s">
        <v>79</v>
      </c>
      <c r="E119" s="19" t="s">
        <v>176</v>
      </c>
    </row>
    <row r="120" ht="15.75" customHeight="1">
      <c r="A120" s="17">
        <v>46200.588368055556</v>
      </c>
      <c r="B120" s="19" t="s">
        <v>154</v>
      </c>
      <c r="C120" s="19">
        <v>2.0</v>
      </c>
      <c r="D120" s="19" t="s">
        <v>79</v>
      </c>
      <c r="E120" s="19" t="s">
        <v>176</v>
      </c>
    </row>
    <row r="121" ht="15.75" customHeight="1">
      <c r="A121" s="17">
        <v>46200.588842592595</v>
      </c>
      <c r="B121" s="19" t="s">
        <v>154</v>
      </c>
      <c r="C121" s="19">
        <v>4.0</v>
      </c>
      <c r="D121" s="19" t="s">
        <v>79</v>
      </c>
      <c r="E121" s="19" t="s">
        <v>179</v>
      </c>
    </row>
    <row r="122" ht="15.75" customHeight="1">
      <c r="A122" s="17">
        <v>46200.589155092595</v>
      </c>
      <c r="B122" s="19" t="s">
        <v>134</v>
      </c>
      <c r="C122" s="19">
        <v>2.0</v>
      </c>
      <c r="D122" s="19" t="s">
        <v>79</v>
      </c>
      <c r="E122" s="19" t="s">
        <v>176</v>
      </c>
    </row>
    <row r="123" ht="15.75" customHeight="1">
      <c r="A123" s="17">
        <v>46200.58944444444</v>
      </c>
      <c r="B123" s="19" t="s">
        <v>134</v>
      </c>
      <c r="C123" s="19">
        <v>4.0</v>
      </c>
      <c r="D123" s="19" t="s">
        <v>79</v>
      </c>
      <c r="E123" s="2"/>
    </row>
    <row r="124" ht="15.75" customHeight="1">
      <c r="A124" s="17">
        <v>46202.472349537034</v>
      </c>
      <c r="B124" s="19" t="s">
        <v>154</v>
      </c>
      <c r="C124" s="19">
        <v>8.0</v>
      </c>
      <c r="D124" s="19" t="s">
        <v>79</v>
      </c>
      <c r="E124" s="19" t="s">
        <v>184</v>
      </c>
    </row>
    <row r="125" ht="15.75" customHeight="1">
      <c r="A125" s="17">
        <v>46202.472974537035</v>
      </c>
      <c r="B125" s="19" t="s">
        <v>134</v>
      </c>
      <c r="C125" s="19">
        <v>8.0</v>
      </c>
      <c r="D125" s="19" t="s">
        <v>79</v>
      </c>
      <c r="E125" s="19" t="s">
        <v>184</v>
      </c>
    </row>
    <row r="126" ht="15.75" customHeight="1">
      <c r="A126" s="17">
        <v>46203.613657407404</v>
      </c>
      <c r="B126" s="18" t="s">
        <v>95</v>
      </c>
      <c r="C126" s="19">
        <v>1.0</v>
      </c>
      <c r="D126" s="19" t="s">
        <v>79</v>
      </c>
      <c r="E126" s="19" t="s">
        <v>151</v>
      </c>
    </row>
    <row r="127" ht="15.75" customHeight="1">
      <c r="A127" s="17">
        <v>46203.614212962966</v>
      </c>
      <c r="B127" s="19" t="s">
        <v>154</v>
      </c>
      <c r="C127" s="19">
        <v>6.0</v>
      </c>
      <c r="D127" s="19" t="s">
        <v>79</v>
      </c>
      <c r="E127" s="19" t="s">
        <v>179</v>
      </c>
    </row>
    <row r="128" ht="15.75" customHeight="1">
      <c r="A128" s="17">
        <v>46205.34903935185</v>
      </c>
      <c r="B128" s="19" t="s">
        <v>86</v>
      </c>
      <c r="C128" s="19">
        <v>1.0</v>
      </c>
      <c r="D128" s="19" t="s">
        <v>79</v>
      </c>
      <c r="E128" s="19" t="s">
        <v>191</v>
      </c>
    </row>
    <row r="129" ht="15.75" customHeight="1">
      <c r="A129" s="17">
        <v>46205.593460648146</v>
      </c>
      <c r="B129" s="18" t="s">
        <v>100</v>
      </c>
      <c r="C129" s="19">
        <v>1.0</v>
      </c>
      <c r="D129" s="19" t="s">
        <v>79</v>
      </c>
      <c r="E129" s="19" t="s">
        <v>193</v>
      </c>
    </row>
    <row r="130" ht="15.75" customHeight="1">
      <c r="A130" s="17">
        <v>46207.34726851852</v>
      </c>
      <c r="B130" s="19" t="s">
        <v>154</v>
      </c>
      <c r="C130" s="19">
        <v>2.0</v>
      </c>
      <c r="D130" s="19" t="s">
        <v>79</v>
      </c>
      <c r="E130" s="19" t="s">
        <v>195</v>
      </c>
    </row>
    <row r="131" ht="15.75" customHeight="1">
      <c r="A131" s="17">
        <v>46207.34824074074</v>
      </c>
      <c r="B131" s="19" t="s">
        <v>154</v>
      </c>
      <c r="C131" s="19">
        <v>2.0</v>
      </c>
      <c r="D131" s="19" t="s">
        <v>79</v>
      </c>
      <c r="E131" s="19" t="s">
        <v>196</v>
      </c>
    </row>
    <row r="132" ht="15.75" customHeight="1">
      <c r="A132" s="17">
        <v>46207.348495370374</v>
      </c>
      <c r="B132" s="19" t="s">
        <v>134</v>
      </c>
      <c r="C132" s="19">
        <v>4.0</v>
      </c>
      <c r="D132" s="19" t="s">
        <v>79</v>
      </c>
      <c r="E132" s="19" t="s">
        <v>196</v>
      </c>
    </row>
    <row r="133" ht="15.75" customHeight="1">
      <c r="A133" s="17">
        <v>46207.41940972222</v>
      </c>
      <c r="B133" s="18" t="s">
        <v>152</v>
      </c>
      <c r="C133" s="19">
        <v>1.0</v>
      </c>
      <c r="D133" s="19" t="s">
        <v>79</v>
      </c>
      <c r="E133" s="19" t="s">
        <v>196</v>
      </c>
    </row>
    <row r="134" ht="15.75" customHeight="1">
      <c r="A134" s="17">
        <v>46209.38146990741</v>
      </c>
      <c r="B134" s="18" t="s">
        <v>157</v>
      </c>
      <c r="C134" s="19">
        <v>2.0</v>
      </c>
      <c r="D134" s="19" t="s">
        <v>79</v>
      </c>
      <c r="E134" s="19" t="s">
        <v>197</v>
      </c>
    </row>
    <row r="135" ht="15.75" customHeight="1">
      <c r="A135" s="17">
        <v>46211.63422453704</v>
      </c>
      <c r="B135" s="19" t="s">
        <v>154</v>
      </c>
      <c r="C135" s="19">
        <v>2.0</v>
      </c>
      <c r="D135" s="19" t="s">
        <v>79</v>
      </c>
      <c r="E135" s="2"/>
    </row>
    <row r="136" ht="15.75" customHeight="1">
      <c r="A136" s="17">
        <v>46211.63451388889</v>
      </c>
      <c r="B136" s="19" t="s">
        <v>134</v>
      </c>
      <c r="C136" s="19">
        <v>2.0</v>
      </c>
      <c r="D136" s="19" t="s">
        <v>79</v>
      </c>
      <c r="E136" s="2"/>
    </row>
    <row r="137" ht="15.75" customHeight="1">
      <c r="A137" s="17">
        <v>46212.35729166667</v>
      </c>
      <c r="B137" s="18" t="s">
        <v>89</v>
      </c>
      <c r="C137" s="19">
        <v>2.0</v>
      </c>
      <c r="D137" s="19" t="s">
        <v>79</v>
      </c>
      <c r="E137" s="2"/>
    </row>
    <row r="138" ht="15.75" customHeight="1">
      <c r="A138" s="17">
        <v>46213.63233796296</v>
      </c>
      <c r="B138" s="19" t="s">
        <v>154</v>
      </c>
      <c r="C138" s="19">
        <v>4.0</v>
      </c>
      <c r="D138" s="19" t="s">
        <v>79</v>
      </c>
      <c r="E138" s="19" t="s">
        <v>197</v>
      </c>
    </row>
    <row r="139" ht="15.75" customHeight="1">
      <c r="A139" s="17">
        <v>46213.632743055554</v>
      </c>
      <c r="B139" s="19" t="s">
        <v>134</v>
      </c>
      <c r="C139" s="19">
        <v>4.0</v>
      </c>
      <c r="D139" s="19" t="s">
        <v>79</v>
      </c>
      <c r="E139" s="19" t="s">
        <v>197</v>
      </c>
    </row>
    <row r="140" ht="15.75" customHeight="1">
      <c r="A140" s="17">
        <v>46213.633518518516</v>
      </c>
      <c r="B140" s="18" t="s">
        <v>91</v>
      </c>
      <c r="C140" s="19">
        <v>1.0</v>
      </c>
      <c r="D140" s="19" t="s">
        <v>79</v>
      </c>
      <c r="E140" s="2"/>
    </row>
    <row r="141" ht="15.75" customHeight="1">
      <c r="A141" s="17">
        <v>46219.3753125</v>
      </c>
      <c r="B141" s="19" t="s">
        <v>154</v>
      </c>
      <c r="C141" s="19">
        <v>2.0</v>
      </c>
      <c r="D141" s="19" t="s">
        <v>79</v>
      </c>
      <c r="E141" s="19" t="s">
        <v>151</v>
      </c>
    </row>
    <row r="142" ht="15.75" customHeight="1">
      <c r="A142" s="17">
        <v>46219.375613425924</v>
      </c>
      <c r="B142" s="19" t="s">
        <v>134</v>
      </c>
      <c r="C142" s="19">
        <v>1.0</v>
      </c>
      <c r="D142" s="19" t="s">
        <v>79</v>
      </c>
      <c r="E142" s="19" t="s">
        <v>151</v>
      </c>
    </row>
    <row r="143" ht="15.75" customHeight="1">
      <c r="A143" s="17">
        <v>46221.359143518515</v>
      </c>
      <c r="B143" s="19" t="s">
        <v>154</v>
      </c>
      <c r="C143" s="19">
        <v>6.0</v>
      </c>
      <c r="D143" s="19" t="s">
        <v>79</v>
      </c>
      <c r="E143" s="19" t="s">
        <v>200</v>
      </c>
    </row>
    <row r="144" ht="15.75" customHeight="1">
      <c r="A144" s="17">
        <v>46221.36005787037</v>
      </c>
      <c r="B144" s="18" t="s">
        <v>189</v>
      </c>
      <c r="C144" s="19">
        <v>4.0</v>
      </c>
      <c r="D144" s="19" t="s">
        <v>79</v>
      </c>
      <c r="E144" s="19" t="s">
        <v>200</v>
      </c>
    </row>
    <row r="145" ht="15.75" customHeight="1">
      <c r="A145" s="17">
        <v>46223.3656712963</v>
      </c>
      <c r="B145" s="18" t="s">
        <v>91</v>
      </c>
      <c r="C145" s="19">
        <v>1.0</v>
      </c>
      <c r="D145" s="19" t="s">
        <v>79</v>
      </c>
      <c r="E145" s="19" t="s">
        <v>201</v>
      </c>
    </row>
    <row r="146" ht="15.75" customHeight="1">
      <c r="A146" s="17">
        <v>46223.36644675926</v>
      </c>
      <c r="B146" s="18" t="s">
        <v>108</v>
      </c>
      <c r="C146" s="19">
        <v>1.0</v>
      </c>
      <c r="D146" s="19" t="s">
        <v>79</v>
      </c>
      <c r="E146" s="19" t="s">
        <v>201</v>
      </c>
    </row>
    <row r="147" ht="15.75" customHeight="1">
      <c r="A147" s="17">
        <v>46225.369305555556</v>
      </c>
      <c r="B147" s="19" t="s">
        <v>87</v>
      </c>
      <c r="C147" s="19">
        <v>2.0</v>
      </c>
      <c r="D147" s="19" t="s">
        <v>79</v>
      </c>
      <c r="E147" s="19" t="s">
        <v>160</v>
      </c>
    </row>
    <row r="148" ht="15.75" customHeight="1">
      <c r="A148" s="17">
        <v>46225.36966435185</v>
      </c>
      <c r="B148" s="18" t="s">
        <v>102</v>
      </c>
      <c r="C148" s="19">
        <v>2.0</v>
      </c>
      <c r="D148" s="19" t="s">
        <v>79</v>
      </c>
      <c r="E148" s="19" t="s">
        <v>160</v>
      </c>
    </row>
    <row r="149" ht="15.75" customHeight="1">
      <c r="A149" s="17">
        <v>46225.375706018516</v>
      </c>
      <c r="B149" s="19" t="s">
        <v>154</v>
      </c>
      <c r="C149" s="19">
        <v>3.0</v>
      </c>
      <c r="D149" s="19" t="s">
        <v>79</v>
      </c>
      <c r="E149" s="19" t="s">
        <v>176</v>
      </c>
    </row>
    <row r="150" ht="15.75" customHeight="1">
      <c r="A150" s="17">
        <v>46227.37164351852</v>
      </c>
      <c r="B150" s="19" t="s">
        <v>134</v>
      </c>
      <c r="C150" s="19">
        <v>2.0</v>
      </c>
      <c r="D150" s="19" t="s">
        <v>79</v>
      </c>
      <c r="E150" s="2"/>
    </row>
    <row r="151" ht="15.75" customHeight="1">
      <c r="A151" s="17">
        <v>46227.37207175926</v>
      </c>
      <c r="B151" s="19" t="s">
        <v>134</v>
      </c>
      <c r="C151" s="19">
        <v>2.0</v>
      </c>
      <c r="D151" s="19" t="s">
        <v>79</v>
      </c>
      <c r="E151" s="2"/>
    </row>
    <row r="152" ht="15.75" customHeight="1">
      <c r="A152" s="17">
        <v>46227.37291666667</v>
      </c>
      <c r="B152" s="19" t="s">
        <v>154</v>
      </c>
      <c r="C152" s="19">
        <v>2.0</v>
      </c>
      <c r="D152" s="19" t="s">
        <v>79</v>
      </c>
      <c r="E152" s="2"/>
    </row>
    <row r="153" ht="15.75" customHeight="1">
      <c r="A153" s="17">
        <v>46242.38637731481</v>
      </c>
      <c r="B153" s="18" t="s">
        <v>102</v>
      </c>
      <c r="C153" s="19">
        <v>5.0</v>
      </c>
      <c r="D153" s="19" t="s">
        <v>79</v>
      </c>
      <c r="E153" s="2"/>
    </row>
    <row r="154" ht="15.75" customHeight="1">
      <c r="A154" s="17">
        <v>46242.54591435185</v>
      </c>
      <c r="B154" s="18" t="s">
        <v>114</v>
      </c>
      <c r="C154" s="19">
        <v>3.0</v>
      </c>
      <c r="D154" s="19" t="s">
        <v>79</v>
      </c>
      <c r="E154" s="2"/>
    </row>
    <row r="155" ht="15.75" customHeight="1">
      <c r="A155" s="17">
        <v>46265.58236111111</v>
      </c>
      <c r="B155" s="19" t="s">
        <v>134</v>
      </c>
      <c r="C155" s="19">
        <v>2.0</v>
      </c>
      <c r="D155" s="19" t="s">
        <v>79</v>
      </c>
      <c r="E155" s="2"/>
    </row>
    <row r="156" ht="15.75" customHeight="1">
      <c r="A156" s="17">
        <v>46265.58273148148</v>
      </c>
      <c r="B156" s="19" t="s">
        <v>154</v>
      </c>
      <c r="C156" s="19">
        <v>3.0</v>
      </c>
      <c r="D156" s="19" t="s">
        <v>79</v>
      </c>
      <c r="E156" s="2"/>
    </row>
    <row r="157" ht="15.75" customHeight="1">
      <c r="A157" s="17">
        <v>46265.58299768518</v>
      </c>
      <c r="B157" s="19" t="s">
        <v>87</v>
      </c>
      <c r="C157" s="19">
        <v>2.0</v>
      </c>
      <c r="D157" s="19" t="s">
        <v>79</v>
      </c>
      <c r="E157" s="2"/>
    </row>
    <row r="158" ht="15.75" customHeight="1">
      <c r="A158" s="17">
        <v>46265.58541666667</v>
      </c>
      <c r="B158" s="18" t="s">
        <v>152</v>
      </c>
      <c r="C158" s="19">
        <v>2.0</v>
      </c>
      <c r="D158" s="19" t="s">
        <v>79</v>
      </c>
      <c r="E158" s="2"/>
    </row>
    <row r="159" ht="15.75" customHeight="1">
      <c r="A159" s="17">
        <v>46265.58603009259</v>
      </c>
      <c r="B159" s="18" t="s">
        <v>159</v>
      </c>
      <c r="C159" s="19">
        <v>1.0</v>
      </c>
      <c r="D159" s="19" t="s">
        <v>79</v>
      </c>
      <c r="E159" s="2"/>
    </row>
    <row r="160" ht="15.75" customHeight="1">
      <c r="A160" s="17">
        <v>46265.59509259259</v>
      </c>
      <c r="B160" s="18" t="s">
        <v>125</v>
      </c>
      <c r="C160" s="19">
        <v>1.0</v>
      </c>
      <c r="D160" s="19" t="s">
        <v>79</v>
      </c>
      <c r="E160" s="2"/>
    </row>
    <row r="161" ht="15.75" customHeight="1">
      <c r="A161" s="4"/>
      <c r="B161" s="2"/>
      <c r="C161" s="2"/>
      <c r="D161" s="2"/>
      <c r="E161" s="2"/>
    </row>
    <row r="162" ht="15.75" customHeight="1">
      <c r="A162" s="4"/>
      <c r="B162" s="2"/>
      <c r="C162" s="2"/>
      <c r="D162" s="2"/>
      <c r="E162" s="2"/>
    </row>
    <row r="163" ht="15.75" customHeight="1">
      <c r="A163" s="4"/>
      <c r="B163" s="2"/>
      <c r="C163" s="2"/>
      <c r="D163" s="2"/>
      <c r="E163" s="2"/>
    </row>
    <row r="164" ht="15.75" customHeight="1">
      <c r="A164" s="4"/>
      <c r="B164" s="2"/>
      <c r="C164" s="2"/>
      <c r="D164" s="2"/>
      <c r="E164" s="2"/>
    </row>
    <row r="165" ht="15.75" customHeight="1">
      <c r="A165" s="4"/>
      <c r="B165" s="2"/>
      <c r="C165" s="2"/>
      <c r="D165" s="2"/>
      <c r="E165" s="2"/>
    </row>
    <row r="166" ht="15.75" customHeight="1">
      <c r="A166" s="4"/>
      <c r="B166" s="2"/>
      <c r="C166" s="2"/>
      <c r="D166" s="2"/>
      <c r="E166" s="2"/>
    </row>
    <row r="167" ht="15.75" customHeight="1">
      <c r="A167" s="4"/>
      <c r="B167" s="2"/>
      <c r="C167" s="2"/>
      <c r="D167" s="2"/>
      <c r="E167" s="2"/>
    </row>
    <row r="168" ht="15.75" customHeight="1">
      <c r="A168" s="4"/>
      <c r="B168" s="2"/>
      <c r="C168" s="2"/>
      <c r="D168" s="2"/>
      <c r="E168" s="2"/>
    </row>
    <row r="169" ht="15.75" customHeight="1">
      <c r="A169" s="4"/>
      <c r="B169" s="2"/>
      <c r="C169" s="2"/>
      <c r="D169" s="2"/>
      <c r="E169" s="2"/>
    </row>
    <row r="170" ht="15.75" customHeight="1">
      <c r="A170" s="4"/>
      <c r="B170" s="2"/>
      <c r="C170" s="2"/>
      <c r="D170" s="2"/>
      <c r="E170" s="2"/>
    </row>
    <row r="171" ht="15.75" customHeight="1">
      <c r="A171" s="4"/>
      <c r="B171" s="2"/>
      <c r="C171" s="2"/>
      <c r="D171" s="2"/>
      <c r="E171" s="2"/>
    </row>
    <row r="172" ht="15.75" customHeight="1">
      <c r="A172" s="4"/>
      <c r="B172" s="2"/>
      <c r="C172" s="2"/>
      <c r="D172" s="2"/>
      <c r="E172" s="2"/>
    </row>
    <row r="173" ht="15.75" customHeight="1">
      <c r="A173" s="4"/>
      <c r="B173" s="2"/>
      <c r="C173" s="2"/>
      <c r="D173" s="2"/>
      <c r="E173" s="2"/>
    </row>
    <row r="174" ht="15.75" customHeight="1">
      <c r="A174" s="4"/>
      <c r="B174" s="2"/>
      <c r="C174" s="2"/>
      <c r="D174" s="2"/>
      <c r="E174" s="2"/>
    </row>
    <row r="175" ht="15.75" customHeight="1">
      <c r="A175" s="4"/>
      <c r="B175" s="2"/>
      <c r="C175" s="2"/>
      <c r="D175" s="2"/>
      <c r="E175" s="2"/>
    </row>
    <row r="176" ht="15.75" customHeight="1">
      <c r="A176" s="4"/>
      <c r="B176" s="2"/>
      <c r="C176" s="2"/>
      <c r="D176" s="2"/>
      <c r="E176" s="2"/>
    </row>
    <row r="177" ht="15.75" customHeight="1">
      <c r="A177" s="4"/>
      <c r="B177" s="2"/>
      <c r="C177" s="2"/>
      <c r="D177" s="2"/>
      <c r="E177" s="2"/>
    </row>
    <row r="178" ht="15.75" customHeight="1">
      <c r="A178" s="4"/>
      <c r="B178" s="2"/>
      <c r="C178" s="2"/>
      <c r="D178" s="2"/>
      <c r="E178" s="2"/>
    </row>
    <row r="179" ht="15.75" customHeight="1">
      <c r="A179" s="4"/>
      <c r="B179" s="2"/>
      <c r="C179" s="2"/>
      <c r="D179" s="2"/>
      <c r="E179" s="2"/>
    </row>
    <row r="180" ht="15.75" customHeight="1">
      <c r="A180" s="4"/>
      <c r="B180" s="2"/>
      <c r="C180" s="2"/>
      <c r="D180" s="2"/>
      <c r="E180" s="2"/>
    </row>
    <row r="181" ht="15.75" customHeight="1">
      <c r="A181" s="4"/>
      <c r="B181" s="2"/>
      <c r="C181" s="2"/>
      <c r="D181" s="2"/>
      <c r="E181" s="2"/>
    </row>
    <row r="182" ht="15.75" customHeight="1">
      <c r="A182" s="4"/>
      <c r="B182" s="2"/>
      <c r="C182" s="2"/>
      <c r="D182" s="2"/>
      <c r="E182" s="2"/>
    </row>
    <row r="183" ht="15.75" customHeight="1">
      <c r="A183" s="4"/>
      <c r="B183" s="2"/>
      <c r="C183" s="2"/>
      <c r="D183" s="2"/>
      <c r="E183" s="2"/>
    </row>
    <row r="184" ht="15.75" customHeight="1">
      <c r="A184" s="4"/>
      <c r="B184" s="2"/>
      <c r="C184" s="2"/>
      <c r="D184" s="2"/>
      <c r="E184" s="2"/>
    </row>
    <row r="185" ht="15.75" customHeight="1">
      <c r="A185" s="4"/>
      <c r="B185" s="2"/>
      <c r="C185" s="2"/>
      <c r="D185" s="2"/>
      <c r="E185" s="2"/>
    </row>
    <row r="186" ht="15.75" customHeight="1">
      <c r="A186" s="4"/>
      <c r="B186" s="2"/>
      <c r="C186" s="2"/>
      <c r="D186" s="2"/>
      <c r="E186" s="2"/>
    </row>
    <row r="187" ht="15.75" customHeight="1">
      <c r="A187" s="4"/>
      <c r="B187" s="2"/>
      <c r="C187" s="2"/>
      <c r="D187" s="2"/>
      <c r="E187" s="2"/>
    </row>
    <row r="188" ht="15.75" customHeight="1">
      <c r="A188" s="4"/>
      <c r="B188" s="2"/>
      <c r="C188" s="2"/>
      <c r="D188" s="2"/>
      <c r="E188" s="2"/>
    </row>
    <row r="189" ht="15.75" customHeight="1">
      <c r="A189" s="4"/>
      <c r="B189" s="2"/>
      <c r="C189" s="2"/>
      <c r="D189" s="2"/>
      <c r="E189" s="2"/>
    </row>
    <row r="190" ht="15.75" customHeight="1">
      <c r="A190" s="4"/>
      <c r="B190" s="2"/>
      <c r="C190" s="2"/>
      <c r="D190" s="2"/>
      <c r="E190" s="2"/>
    </row>
    <row r="191" ht="15.75" customHeight="1">
      <c r="A191" s="4"/>
      <c r="B191" s="2"/>
      <c r="C191" s="2"/>
      <c r="D191" s="2"/>
      <c r="E191" s="2"/>
    </row>
    <row r="192" ht="15.75" customHeight="1">
      <c r="A192" s="4"/>
      <c r="B192" s="2"/>
      <c r="C192" s="2"/>
      <c r="D192" s="2"/>
      <c r="E192" s="2"/>
    </row>
    <row r="193" ht="15.75" customHeight="1">
      <c r="A193" s="4"/>
      <c r="B193" s="2"/>
      <c r="C193" s="2"/>
      <c r="D193" s="2"/>
      <c r="E193" s="2"/>
    </row>
    <row r="194" ht="15.75" customHeight="1">
      <c r="A194" s="4"/>
      <c r="B194" s="2"/>
      <c r="C194" s="2"/>
      <c r="D194" s="2"/>
      <c r="E194" s="2"/>
    </row>
    <row r="195" ht="15.75" customHeight="1">
      <c r="A195" s="4"/>
      <c r="B195" s="2"/>
      <c r="C195" s="2"/>
      <c r="D195" s="2"/>
      <c r="E195" s="2"/>
    </row>
    <row r="196" ht="15.75" customHeight="1">
      <c r="A196" s="4"/>
      <c r="B196" s="2"/>
      <c r="C196" s="2"/>
      <c r="D196" s="2"/>
      <c r="E196" s="2"/>
    </row>
    <row r="197" ht="15.75" customHeight="1">
      <c r="A197" s="4"/>
      <c r="B197" s="2"/>
      <c r="C197" s="2"/>
      <c r="D197" s="2"/>
      <c r="E197" s="2"/>
    </row>
    <row r="198" ht="15.75" customHeight="1">
      <c r="A198" s="4"/>
      <c r="B198" s="2"/>
      <c r="C198" s="2"/>
      <c r="D198" s="2"/>
      <c r="E198" s="2"/>
    </row>
    <row r="199" ht="15.75" customHeight="1">
      <c r="A199" s="4"/>
      <c r="B199" s="2"/>
      <c r="C199" s="2"/>
      <c r="D199" s="2"/>
      <c r="E199" s="2"/>
    </row>
    <row r="200" ht="15.75" customHeight="1">
      <c r="A200" s="4"/>
      <c r="B200" s="2"/>
      <c r="C200" s="2"/>
      <c r="D200" s="2"/>
      <c r="E200" s="2"/>
    </row>
    <row r="201" ht="15.75" customHeight="1">
      <c r="A201" s="4"/>
      <c r="B201" s="2"/>
      <c r="C201" s="2"/>
      <c r="D201" s="2"/>
      <c r="E201" s="2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15.57"/>
    <col customWidth="1" min="3" max="3" width="14.43"/>
    <col customWidth="1" min="4" max="5" width="20.0"/>
    <col customWidth="1" min="6" max="6" width="14.43"/>
  </cols>
  <sheetData>
    <row r="1" ht="15.7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ht="15.75" customHeight="1">
      <c r="A2" s="4">
        <v>45246.431805555556</v>
      </c>
      <c r="C2" s="2">
        <v>2.0</v>
      </c>
      <c r="D2" s="2" t="s">
        <v>12</v>
      </c>
    </row>
    <row r="3" ht="15.75" customHeight="1">
      <c r="A3" s="4">
        <v>45246.43326388889</v>
      </c>
      <c r="B3" s="2" t="s">
        <v>14</v>
      </c>
      <c r="C3" s="2">
        <v>2.0</v>
      </c>
      <c r="D3" s="2" t="s">
        <v>12</v>
      </c>
    </row>
    <row r="4" ht="15.75" customHeight="1">
      <c r="A4" s="4">
        <v>45246.43581018518</v>
      </c>
      <c r="B4" s="7" t="s">
        <v>15</v>
      </c>
      <c r="C4" s="2">
        <v>1.0</v>
      </c>
      <c r="D4" s="2" t="s">
        <v>12</v>
      </c>
    </row>
    <row r="5" ht="15.75" customHeight="1">
      <c r="A5" s="4">
        <v>45246.43744212963</v>
      </c>
      <c r="B5" s="2" t="s">
        <v>17</v>
      </c>
      <c r="C5" s="2">
        <v>1.0</v>
      </c>
      <c r="D5" s="2" t="s">
        <v>12</v>
      </c>
    </row>
    <row r="6" ht="15.75" customHeight="1">
      <c r="A6" s="4">
        <v>45246.43791666667</v>
      </c>
      <c r="B6" s="2" t="s">
        <v>18</v>
      </c>
      <c r="C6" s="2">
        <v>3.0</v>
      </c>
      <c r="D6" s="2" t="s">
        <v>12</v>
      </c>
    </row>
    <row r="7" ht="15.75" customHeight="1">
      <c r="A7" s="4">
        <v>45246.43809027778</v>
      </c>
      <c r="B7" s="2" t="s">
        <v>20</v>
      </c>
      <c r="C7" s="2">
        <v>1.0</v>
      </c>
      <c r="D7" s="2" t="s">
        <v>12</v>
      </c>
    </row>
    <row r="8" ht="15.75" customHeight="1">
      <c r="A8" s="4">
        <v>45265.682905092595</v>
      </c>
      <c r="B8" s="2" t="s">
        <v>18</v>
      </c>
      <c r="C8" s="2">
        <v>5.0</v>
      </c>
      <c r="D8" s="2" t="s">
        <v>12</v>
      </c>
      <c r="E8" s="2" t="s">
        <v>23</v>
      </c>
    </row>
    <row r="9" ht="15.75" customHeight="1">
      <c r="A9" s="4">
        <v>45266.42138888889</v>
      </c>
      <c r="B9" s="7" t="s">
        <v>33</v>
      </c>
      <c r="C9" s="2">
        <v>2.0</v>
      </c>
      <c r="D9" s="2" t="s">
        <v>12</v>
      </c>
    </row>
    <row r="10" ht="15.75" customHeight="1">
      <c r="A10" s="4">
        <v>45275.43488425926</v>
      </c>
      <c r="B10" s="7" t="s">
        <v>35</v>
      </c>
      <c r="C10" s="2">
        <v>3.0</v>
      </c>
      <c r="D10" s="2" t="s">
        <v>12</v>
      </c>
      <c r="E10" s="7" t="s">
        <v>36</v>
      </c>
    </row>
    <row r="11" ht="15.75" customHeight="1">
      <c r="A11" s="4">
        <v>45275.435625</v>
      </c>
      <c r="B11" s="7" t="s">
        <v>11</v>
      </c>
      <c r="C11" s="2">
        <v>2.0</v>
      </c>
      <c r="D11" s="2" t="s">
        <v>12</v>
      </c>
      <c r="E11" s="7" t="s">
        <v>36</v>
      </c>
    </row>
    <row r="12" ht="15.75" customHeight="1">
      <c r="A12" s="4">
        <v>45286.58</v>
      </c>
      <c r="B12" s="7" t="s">
        <v>40</v>
      </c>
      <c r="C12" s="2">
        <v>100.0</v>
      </c>
      <c r="D12" s="2" t="s">
        <v>12</v>
      </c>
    </row>
    <row r="13" ht="15.75" customHeight="1">
      <c r="A13" s="4">
        <v>45286.58269675926</v>
      </c>
      <c r="B13" s="7" t="s">
        <v>40</v>
      </c>
      <c r="C13" s="2">
        <v>5.0</v>
      </c>
      <c r="D13" s="2" t="s">
        <v>12</v>
      </c>
    </row>
    <row r="14" ht="15.75" customHeight="1">
      <c r="A14" s="4">
        <v>45300.48473379629</v>
      </c>
      <c r="B14" s="2" t="s">
        <v>17</v>
      </c>
      <c r="C14" s="2">
        <v>5.0</v>
      </c>
      <c r="D14" s="2" t="s">
        <v>12</v>
      </c>
    </row>
    <row r="15" ht="15.75" customHeight="1">
      <c r="A15" s="4">
        <v>45301.44883101852</v>
      </c>
      <c r="B15" s="7" t="s">
        <v>35</v>
      </c>
      <c r="C15" s="2">
        <v>2.0</v>
      </c>
      <c r="D15" s="2" t="s">
        <v>12</v>
      </c>
    </row>
    <row r="16" ht="15.75" customHeight="1">
      <c r="A16" s="4">
        <v>45309.758368055554</v>
      </c>
      <c r="B16" s="2" t="s">
        <v>17</v>
      </c>
      <c r="C16" s="2">
        <v>1.0</v>
      </c>
      <c r="D16" s="2" t="s">
        <v>12</v>
      </c>
    </row>
    <row r="17" ht="15.75" customHeight="1">
      <c r="A17" s="4">
        <v>45327.60438657407</v>
      </c>
      <c r="C17" s="2">
        <v>1.0</v>
      </c>
      <c r="D17" s="2" t="s">
        <v>12</v>
      </c>
    </row>
    <row r="18" ht="15.75" customHeight="1">
      <c r="A18" s="4">
        <v>45327.60524305556</v>
      </c>
      <c r="B18" s="7" t="s">
        <v>44</v>
      </c>
      <c r="C18" s="2">
        <v>1.0</v>
      </c>
      <c r="D18" s="2" t="s">
        <v>12</v>
      </c>
    </row>
    <row r="19" ht="15.75" customHeight="1">
      <c r="A19" s="4">
        <v>45327.605775462966</v>
      </c>
      <c r="B19" s="7" t="s">
        <v>40</v>
      </c>
      <c r="C19" s="2">
        <v>2.0</v>
      </c>
      <c r="D19" s="2" t="s">
        <v>12</v>
      </c>
      <c r="E19" s="2" t="s">
        <v>47</v>
      </c>
    </row>
    <row r="20" ht="15.75" customHeight="1">
      <c r="A20" s="4">
        <v>45327.4165162037</v>
      </c>
      <c r="B20" s="7" t="s">
        <v>44</v>
      </c>
      <c r="C20" s="2">
        <v>1.0</v>
      </c>
      <c r="D20" s="2" t="s">
        <v>12</v>
      </c>
      <c r="E20" s="7" t="s">
        <v>48</v>
      </c>
    </row>
    <row r="21" ht="15.75" customHeight="1">
      <c r="A21" s="4">
        <v>45330.708125</v>
      </c>
      <c r="B21" s="2" t="s">
        <v>17</v>
      </c>
      <c r="C21" s="2">
        <v>1.0</v>
      </c>
      <c r="D21" s="2" t="s">
        <v>12</v>
      </c>
    </row>
    <row r="22" ht="15.75" customHeight="1">
      <c r="A22" s="4">
        <v>45331.43274305556</v>
      </c>
      <c r="B22" s="2" t="s">
        <v>17</v>
      </c>
      <c r="C22" s="2">
        <v>1.0</v>
      </c>
      <c r="D22" s="2" t="s">
        <v>12</v>
      </c>
    </row>
    <row r="23" ht="15.75" customHeight="1">
      <c r="A23" s="4">
        <v>45336.559699074074</v>
      </c>
      <c r="B23" s="2" t="s">
        <v>17</v>
      </c>
      <c r="C23" s="2">
        <v>5.0</v>
      </c>
      <c r="D23" s="2" t="s">
        <v>12</v>
      </c>
    </row>
    <row r="24" ht="15.75" customHeight="1">
      <c r="A24" s="4">
        <v>45385.431608796294</v>
      </c>
      <c r="B24" s="7" t="s">
        <v>44</v>
      </c>
      <c r="C24" s="2">
        <v>1.0</v>
      </c>
      <c r="D24" s="2" t="s">
        <v>12</v>
      </c>
    </row>
    <row r="25" ht="15.75" customHeight="1">
      <c r="A25" s="4">
        <v>45386.43136574074</v>
      </c>
      <c r="B25" s="2" t="s">
        <v>17</v>
      </c>
      <c r="C25" s="2">
        <v>5.0</v>
      </c>
      <c r="D25" s="2" t="s">
        <v>12</v>
      </c>
    </row>
    <row r="26" ht="15.75" customHeight="1">
      <c r="A26" s="4">
        <v>45390.48107638889</v>
      </c>
      <c r="B26" s="2" t="s">
        <v>20</v>
      </c>
      <c r="C26" s="2">
        <v>3.0</v>
      </c>
      <c r="D26" s="2" t="s">
        <v>12</v>
      </c>
    </row>
    <row r="27" ht="15.75" customHeight="1">
      <c r="A27" s="4">
        <v>45407.374027777776</v>
      </c>
      <c r="B27" s="7" t="s">
        <v>11</v>
      </c>
      <c r="C27" s="2">
        <v>1.0</v>
      </c>
      <c r="D27" s="2" t="s">
        <v>12</v>
      </c>
    </row>
    <row r="28" ht="15.75" customHeight="1">
      <c r="A28" s="4">
        <v>45407.37472222222</v>
      </c>
      <c r="B28" s="7" t="s">
        <v>44</v>
      </c>
      <c r="C28" s="2">
        <v>1.0</v>
      </c>
      <c r="D28" s="2" t="s">
        <v>12</v>
      </c>
    </row>
    <row r="29" ht="15.75" customHeight="1">
      <c r="A29" s="4">
        <v>45416.64806712963</v>
      </c>
      <c r="B29" s="7" t="s">
        <v>15</v>
      </c>
      <c r="C29" s="2">
        <v>1.0</v>
      </c>
      <c r="D29" s="2" t="s">
        <v>12</v>
      </c>
    </row>
    <row r="30" ht="15.75" customHeight="1">
      <c r="A30" s="4">
        <v>45418.64827546296</v>
      </c>
      <c r="B30" s="7" t="s">
        <v>40</v>
      </c>
      <c r="C30" s="2">
        <v>300.0</v>
      </c>
      <c r="D30" s="2" t="s">
        <v>12</v>
      </c>
    </row>
    <row r="31" ht="15.75" customHeight="1">
      <c r="A31" s="4">
        <v>45425.63917824074</v>
      </c>
      <c r="B31" s="2" t="s">
        <v>17</v>
      </c>
      <c r="C31" s="2">
        <v>5.0</v>
      </c>
      <c r="D31" s="2" t="s">
        <v>12</v>
      </c>
    </row>
    <row r="32" ht="15.75" customHeight="1">
      <c r="A32" s="4">
        <v>45436.457337962966</v>
      </c>
      <c r="B32" s="7" t="s">
        <v>35</v>
      </c>
      <c r="C32" s="2">
        <v>1.0</v>
      </c>
      <c r="D32" s="2" t="s">
        <v>12</v>
      </c>
    </row>
    <row r="33" ht="15.75" customHeight="1">
      <c r="A33" s="4">
        <v>45437.37206018518</v>
      </c>
      <c r="B33" s="2" t="s">
        <v>20</v>
      </c>
      <c r="C33" s="2">
        <v>4.0</v>
      </c>
      <c r="D33" s="2" t="s">
        <v>12</v>
      </c>
    </row>
    <row r="34" ht="15.75" customHeight="1">
      <c r="A34" s="4">
        <v>45437.38744212963</v>
      </c>
      <c r="B34" s="2" t="s">
        <v>20</v>
      </c>
      <c r="C34" s="2">
        <v>1.0</v>
      </c>
      <c r="D34" s="2" t="s">
        <v>12</v>
      </c>
    </row>
    <row r="35" ht="15.75" customHeight="1">
      <c r="A35" s="4">
        <v>45440.623564814814</v>
      </c>
      <c r="B35" s="7" t="s">
        <v>15</v>
      </c>
      <c r="C35" s="2">
        <v>1.0</v>
      </c>
      <c r="D35" s="2" t="s">
        <v>12</v>
      </c>
    </row>
    <row r="36" ht="15.75" customHeight="1">
      <c r="A36" s="4">
        <v>45440.624085648145</v>
      </c>
      <c r="B36" s="7" t="s">
        <v>44</v>
      </c>
      <c r="C36" s="2">
        <v>1.0</v>
      </c>
      <c r="D36" s="2" t="s">
        <v>12</v>
      </c>
    </row>
    <row r="37" ht="15.75" customHeight="1">
      <c r="A37" s="4">
        <v>45449.36854166666</v>
      </c>
      <c r="B37" s="2" t="s">
        <v>17</v>
      </c>
      <c r="C37" s="2">
        <v>1.0</v>
      </c>
      <c r="D37" s="2" t="s">
        <v>12</v>
      </c>
      <c r="E37" s="2" t="s">
        <v>62</v>
      </c>
    </row>
    <row r="38" ht="15.75" customHeight="1">
      <c r="A38" s="4">
        <v>45462.426354166666</v>
      </c>
      <c r="B38" s="2" t="s">
        <v>18</v>
      </c>
      <c r="C38" s="2">
        <v>5.0</v>
      </c>
      <c r="D38" s="2" t="s">
        <v>12</v>
      </c>
    </row>
    <row r="39" ht="15.75" customHeight="1">
      <c r="A39" s="4">
        <v>45462.426840277774</v>
      </c>
      <c r="B39" s="2" t="s">
        <v>17</v>
      </c>
      <c r="C39" s="2">
        <v>1.0</v>
      </c>
      <c r="D39" s="2" t="s">
        <v>12</v>
      </c>
    </row>
    <row r="40" ht="15.75" customHeight="1">
      <c r="A40" s="4">
        <v>45472.34787037037</v>
      </c>
      <c r="B40" s="2" t="s">
        <v>17</v>
      </c>
      <c r="C40" s="2">
        <v>5.0</v>
      </c>
      <c r="D40" s="2" t="s">
        <v>12</v>
      </c>
    </row>
    <row r="41" ht="15.75" customHeight="1">
      <c r="A41" s="4">
        <v>45475.41339120371</v>
      </c>
      <c r="B41" s="7" t="s">
        <v>35</v>
      </c>
      <c r="C41" s="2">
        <v>1.0</v>
      </c>
      <c r="D41" s="2" t="s">
        <v>12</v>
      </c>
    </row>
    <row r="42" ht="15.75" customHeight="1">
      <c r="A42" s="4">
        <v>45495.53228009259</v>
      </c>
      <c r="B42" s="7" t="s">
        <v>15</v>
      </c>
      <c r="C42" s="2">
        <v>1.0</v>
      </c>
      <c r="D42" s="2" t="s">
        <v>12</v>
      </c>
    </row>
    <row r="43" ht="15.75" customHeight="1">
      <c r="A43" s="4">
        <v>45495.65048611111</v>
      </c>
      <c r="B43" s="7" t="s">
        <v>33</v>
      </c>
      <c r="C43" s="2">
        <v>1.0</v>
      </c>
      <c r="D43" s="2" t="s">
        <v>12</v>
      </c>
      <c r="E43" s="2" t="s">
        <v>62</v>
      </c>
    </row>
    <row r="44" ht="15.75" customHeight="1">
      <c r="A44" s="4">
        <v>45509.47368055556</v>
      </c>
      <c r="B44" s="2" t="s">
        <v>18</v>
      </c>
      <c r="C44" s="2">
        <v>5.0</v>
      </c>
      <c r="D44" s="2" t="s">
        <v>12</v>
      </c>
    </row>
    <row r="45" ht="15.75" customHeight="1">
      <c r="A45" s="4">
        <v>45524.48210648148</v>
      </c>
      <c r="B45" s="7" t="s">
        <v>69</v>
      </c>
      <c r="C45" s="2">
        <v>2.0</v>
      </c>
      <c r="D45" s="2" t="s">
        <v>12</v>
      </c>
    </row>
    <row r="46" ht="15.75" customHeight="1">
      <c r="A46" s="14"/>
      <c r="B46" s="5"/>
      <c r="C46" s="5"/>
      <c r="D46" s="5"/>
    </row>
    <row r="47" ht="15.75" customHeight="1">
      <c r="A47" s="14"/>
      <c r="B47" s="5"/>
      <c r="C47" s="5"/>
      <c r="D47" s="5"/>
    </row>
    <row r="48" ht="15.75" customHeight="1">
      <c r="A48" s="14"/>
      <c r="B48" s="5"/>
      <c r="C48" s="5"/>
      <c r="D48" s="5"/>
    </row>
    <row r="49" ht="15.75" customHeight="1">
      <c r="A49" s="14"/>
      <c r="B49" s="5"/>
      <c r="C49" s="5"/>
      <c r="D49" s="5"/>
    </row>
    <row r="50" ht="15.75" customHeight="1">
      <c r="A50" s="14"/>
      <c r="B50" s="5"/>
      <c r="C50" s="5"/>
      <c r="D50" s="5"/>
    </row>
    <row r="51" ht="15.75" customHeight="1">
      <c r="A51" s="14"/>
      <c r="B51" s="5"/>
      <c r="C51" s="5"/>
      <c r="D51" s="5"/>
    </row>
    <row r="52" ht="15.75" customHeight="1">
      <c r="A52" s="14">
        <v>45537.41758101852</v>
      </c>
      <c r="C52" s="5">
        <v>3.0</v>
      </c>
      <c r="D52" s="5" t="s">
        <v>79</v>
      </c>
    </row>
    <row r="53" ht="15.75" customHeight="1">
      <c r="A53" s="14">
        <v>45537.41805555556</v>
      </c>
      <c r="C53" s="5">
        <v>9.0</v>
      </c>
      <c r="D53" s="5" t="s">
        <v>79</v>
      </c>
    </row>
    <row r="54" ht="15.75" customHeight="1">
      <c r="A54" s="14">
        <v>46167.68142361111</v>
      </c>
      <c r="B54" s="5" t="s">
        <v>80</v>
      </c>
      <c r="C54" s="5">
        <v>2.0</v>
      </c>
      <c r="D54" s="5" t="s">
        <v>79</v>
      </c>
    </row>
    <row r="55" ht="15.75" customHeight="1">
      <c r="A55" s="14">
        <v>46167.68246527778</v>
      </c>
      <c r="B55" s="5" t="s">
        <v>81</v>
      </c>
      <c r="C55" s="5">
        <v>3.0</v>
      </c>
      <c r="D55" s="5" t="s">
        <v>79</v>
      </c>
    </row>
    <row r="56" ht="15.75" customHeight="1">
      <c r="A56" s="14">
        <v>46167.68329861111</v>
      </c>
      <c r="B56" s="5" t="s">
        <v>31</v>
      </c>
      <c r="C56" s="5">
        <v>4.0</v>
      </c>
      <c r="D56" s="5" t="s">
        <v>82</v>
      </c>
    </row>
    <row r="57" ht="15.75" customHeight="1">
      <c r="A57" s="14">
        <v>46168.44640046296</v>
      </c>
      <c r="B57" s="15" t="s">
        <v>83</v>
      </c>
      <c r="C57" s="5">
        <v>135.0</v>
      </c>
      <c r="D57" s="5" t="s">
        <v>79</v>
      </c>
    </row>
    <row r="58" ht="15.75" customHeight="1">
      <c r="A58" s="14">
        <v>46171.67870370371</v>
      </c>
      <c r="B58" s="5" t="s">
        <v>85</v>
      </c>
      <c r="C58" s="5">
        <v>14.0</v>
      </c>
      <c r="D58" s="5" t="s">
        <v>79</v>
      </c>
    </row>
    <row r="59" ht="15.75" customHeight="1">
      <c r="A59" s="14">
        <v>46172.41042824074</v>
      </c>
      <c r="B59" s="5" t="s">
        <v>86</v>
      </c>
      <c r="C59" s="5">
        <v>1.0</v>
      </c>
      <c r="D59" s="5" t="s">
        <v>79</v>
      </c>
    </row>
    <row r="60" ht="15.75" customHeight="1">
      <c r="A60" s="14">
        <v>46172.41762731481</v>
      </c>
      <c r="B60" s="15" t="s">
        <v>89</v>
      </c>
      <c r="C60" s="5">
        <v>29.0</v>
      </c>
      <c r="D60" s="5" t="s">
        <v>79</v>
      </c>
    </row>
    <row r="61" ht="15.75" customHeight="1">
      <c r="A61" s="14">
        <v>46172.42969907408</v>
      </c>
      <c r="B61" s="15" t="s">
        <v>91</v>
      </c>
      <c r="C61" s="5">
        <v>15.0</v>
      </c>
      <c r="D61" s="5" t="s">
        <v>79</v>
      </c>
    </row>
    <row r="62" ht="15.75" customHeight="1">
      <c r="A62" s="14">
        <v>46172.43162037037</v>
      </c>
      <c r="B62" s="5" t="s">
        <v>92</v>
      </c>
      <c r="C62" s="5">
        <v>4.0</v>
      </c>
      <c r="D62" s="5" t="s">
        <v>79</v>
      </c>
    </row>
    <row r="63" ht="15.75" customHeight="1">
      <c r="A63" s="14">
        <v>46172.43329861111</v>
      </c>
      <c r="B63" s="15" t="s">
        <v>94</v>
      </c>
      <c r="C63" s="5">
        <v>4.0</v>
      </c>
      <c r="D63" s="5" t="s">
        <v>79</v>
      </c>
    </row>
    <row r="64" ht="15.75" customHeight="1">
      <c r="A64" s="14">
        <v>46172.435740740744</v>
      </c>
      <c r="B64" s="15" t="s">
        <v>95</v>
      </c>
      <c r="C64" s="5">
        <v>18.0</v>
      </c>
      <c r="D64" s="5" t="s">
        <v>79</v>
      </c>
    </row>
    <row r="65" ht="15.75" customHeight="1">
      <c r="A65" s="14">
        <v>46172.45621527778</v>
      </c>
      <c r="B65" s="15" t="s">
        <v>97</v>
      </c>
      <c r="C65" s="5">
        <v>3.0</v>
      </c>
      <c r="D65" s="5" t="s">
        <v>79</v>
      </c>
    </row>
    <row r="66" ht="15.75" customHeight="1">
      <c r="A66" s="14">
        <v>46172.46126157408</v>
      </c>
      <c r="B66" s="15" t="s">
        <v>98</v>
      </c>
      <c r="C66" s="5">
        <v>36.0</v>
      </c>
      <c r="D66" s="5" t="s">
        <v>79</v>
      </c>
    </row>
    <row r="67" ht="15.75" customHeight="1">
      <c r="A67" s="14">
        <v>46172.46288194445</v>
      </c>
      <c r="B67" s="15" t="s">
        <v>99</v>
      </c>
      <c r="C67" s="5">
        <v>54.0</v>
      </c>
      <c r="D67" s="5" t="s">
        <v>79</v>
      </c>
    </row>
    <row r="68" ht="15.75" customHeight="1">
      <c r="A68" s="14">
        <v>46176.381377314814</v>
      </c>
      <c r="B68" s="15" t="s">
        <v>100</v>
      </c>
      <c r="C68" s="5">
        <v>157.0</v>
      </c>
      <c r="D68" s="5" t="s">
        <v>79</v>
      </c>
    </row>
    <row r="69" ht="15.75" customHeight="1">
      <c r="A69" s="14">
        <v>46176.3833912037</v>
      </c>
      <c r="B69" s="15" t="s">
        <v>102</v>
      </c>
      <c r="C69" s="5">
        <v>30.0</v>
      </c>
      <c r="D69" s="5" t="s">
        <v>79</v>
      </c>
    </row>
    <row r="70" ht="15.75" customHeight="1">
      <c r="A70" s="14">
        <v>46176.42070601852</v>
      </c>
      <c r="B70" s="15" t="s">
        <v>103</v>
      </c>
      <c r="C70" s="5">
        <v>5.0</v>
      </c>
      <c r="D70" s="5" t="s">
        <v>79</v>
      </c>
    </row>
    <row r="71" ht="15.75" customHeight="1">
      <c r="A71" s="14">
        <v>46176.4253125</v>
      </c>
      <c r="B71" s="15" t="s">
        <v>104</v>
      </c>
      <c r="C71" s="5">
        <v>320.0</v>
      </c>
      <c r="D71" s="5" t="s">
        <v>79</v>
      </c>
    </row>
    <row r="72" ht="15.75" customHeight="1">
      <c r="A72" s="14">
        <v>46176.42612268519</v>
      </c>
      <c r="B72" s="15" t="s">
        <v>106</v>
      </c>
      <c r="C72" s="5">
        <v>25.0</v>
      </c>
      <c r="D72" s="5" t="s">
        <v>79</v>
      </c>
    </row>
    <row r="73" ht="15.75" customHeight="1">
      <c r="A73" s="14">
        <v>46176.42886574074</v>
      </c>
      <c r="B73" s="15" t="s">
        <v>107</v>
      </c>
      <c r="C73" s="5">
        <v>1.0</v>
      </c>
      <c r="D73" s="5" t="s">
        <v>79</v>
      </c>
    </row>
    <row r="74" ht="15.75" customHeight="1">
      <c r="A74" s="14">
        <v>46176.430393518516</v>
      </c>
      <c r="B74" s="15" t="s">
        <v>108</v>
      </c>
      <c r="C74" s="5">
        <v>124.0</v>
      </c>
      <c r="D74" s="5" t="s">
        <v>79</v>
      </c>
    </row>
    <row r="75" ht="15.75" customHeight="1">
      <c r="A75" s="14">
        <v>46176.432025462964</v>
      </c>
      <c r="B75" s="15" t="s">
        <v>110</v>
      </c>
      <c r="C75" s="5">
        <v>16.0</v>
      </c>
      <c r="D75" s="5" t="s">
        <v>79</v>
      </c>
    </row>
    <row r="76" ht="15.75" customHeight="1">
      <c r="A76" s="14">
        <v>46176.43274305556</v>
      </c>
      <c r="B76" s="15" t="s">
        <v>110</v>
      </c>
      <c r="C76" s="5">
        <v>16.0</v>
      </c>
      <c r="D76" s="5" t="s">
        <v>79</v>
      </c>
    </row>
    <row r="77" ht="15.75" customHeight="1">
      <c r="A77" s="14">
        <v>46177.4062037037</v>
      </c>
      <c r="B77" s="15" t="s">
        <v>112</v>
      </c>
      <c r="C77" s="5">
        <v>4.0</v>
      </c>
      <c r="D77" s="5" t="s">
        <v>79</v>
      </c>
    </row>
    <row r="78" ht="15.75" customHeight="1">
      <c r="A78" s="14">
        <v>46177.40762731482</v>
      </c>
      <c r="B78" s="15" t="s">
        <v>113</v>
      </c>
      <c r="C78" s="5">
        <v>5.0</v>
      </c>
      <c r="D78" s="5" t="s">
        <v>79</v>
      </c>
    </row>
    <row r="79" ht="15.75" customHeight="1">
      <c r="A79" s="14">
        <v>46177.40899305556</v>
      </c>
      <c r="B79" s="15" t="s">
        <v>114</v>
      </c>
      <c r="C79" s="5">
        <v>7.0</v>
      </c>
      <c r="D79" s="5" t="s">
        <v>79</v>
      </c>
    </row>
    <row r="80" ht="15.75" customHeight="1">
      <c r="A80" s="14">
        <v>46177.410474537035</v>
      </c>
      <c r="B80" s="15" t="s">
        <v>116</v>
      </c>
      <c r="C80" s="5">
        <v>4.0</v>
      </c>
      <c r="D80" s="5" t="s">
        <v>79</v>
      </c>
    </row>
    <row r="81" ht="15.75" customHeight="1">
      <c r="A81" s="14">
        <v>46177.41248842593</v>
      </c>
      <c r="B81" s="15" t="s">
        <v>117</v>
      </c>
      <c r="C81" s="5">
        <v>7.0</v>
      </c>
      <c r="D81" s="5" t="s">
        <v>79</v>
      </c>
    </row>
    <row r="82" ht="15.75" customHeight="1">
      <c r="A82" s="14">
        <v>46177.41601851852</v>
      </c>
      <c r="B82" s="15" t="s">
        <v>119</v>
      </c>
      <c r="C82" s="5">
        <v>4.0</v>
      </c>
      <c r="D82" s="5" t="s">
        <v>79</v>
      </c>
    </row>
    <row r="83" ht="15.75" customHeight="1">
      <c r="A83" s="14">
        <v>46177.41894675926</v>
      </c>
      <c r="B83" s="15" t="s">
        <v>121</v>
      </c>
      <c r="C83" s="5">
        <v>4.0</v>
      </c>
      <c r="D83" s="5" t="s">
        <v>79</v>
      </c>
    </row>
    <row r="84" ht="15.75" customHeight="1">
      <c r="A84" s="14">
        <v>46177.43519675926</v>
      </c>
      <c r="B84" s="15" t="s">
        <v>122</v>
      </c>
      <c r="C84" s="5">
        <v>4.0</v>
      </c>
      <c r="D84" s="5" t="s">
        <v>79</v>
      </c>
    </row>
    <row r="85" ht="15.75" customHeight="1">
      <c r="A85" s="14">
        <v>46177.43715277778</v>
      </c>
      <c r="B85" s="15" t="s">
        <v>124</v>
      </c>
      <c r="C85" s="5">
        <v>1.0</v>
      </c>
      <c r="D85" s="5" t="s">
        <v>79</v>
      </c>
    </row>
    <row r="86" ht="15.75" customHeight="1">
      <c r="A86" s="14">
        <v>46177.438414351855</v>
      </c>
      <c r="B86" s="15" t="s">
        <v>125</v>
      </c>
      <c r="C86" s="5">
        <v>1.0</v>
      </c>
      <c r="D86" s="5" t="s">
        <v>79</v>
      </c>
    </row>
    <row r="87" ht="15.75" customHeight="1">
      <c r="A87" s="14">
        <v>46177.44111111111</v>
      </c>
      <c r="B87" s="15" t="s">
        <v>130</v>
      </c>
      <c r="C87" s="5">
        <v>6.0</v>
      </c>
      <c r="D87" s="5" t="s">
        <v>79</v>
      </c>
    </row>
    <row r="88" ht="15.75" customHeight="1">
      <c r="A88" s="14">
        <v>46177.442662037036</v>
      </c>
      <c r="B88" s="15" t="s">
        <v>133</v>
      </c>
      <c r="C88" s="5">
        <v>4.0</v>
      </c>
      <c r="D88" s="5" t="s">
        <v>79</v>
      </c>
    </row>
    <row r="89" ht="15.75" customHeight="1">
      <c r="A89" s="14">
        <v>46179.3894212963</v>
      </c>
      <c r="B89" s="5" t="s">
        <v>134</v>
      </c>
      <c r="C89" s="5">
        <v>50.0</v>
      </c>
      <c r="D89" s="5" t="s">
        <v>79</v>
      </c>
    </row>
    <row r="90" ht="15.75" customHeight="1">
      <c r="A90" s="14">
        <v>46179.401504629626</v>
      </c>
      <c r="B90" s="15" t="s">
        <v>136</v>
      </c>
      <c r="C90" s="5">
        <v>15.0</v>
      </c>
      <c r="D90" s="5" t="s">
        <v>79</v>
      </c>
    </row>
    <row r="91" ht="15.75" customHeight="1">
      <c r="A91" s="14">
        <v>46179.40421296296</v>
      </c>
      <c r="B91" s="15" t="s">
        <v>140</v>
      </c>
      <c r="C91" s="5">
        <v>6.0</v>
      </c>
      <c r="D91" s="5" t="s">
        <v>79</v>
      </c>
    </row>
    <row r="92" ht="15.75" customHeight="1">
      <c r="A92" s="14">
        <v>46179.4068287037</v>
      </c>
      <c r="C92" s="5">
        <v>4.0</v>
      </c>
      <c r="D92" s="5" t="s">
        <v>79</v>
      </c>
    </row>
    <row r="93" ht="15.75" customHeight="1">
      <c r="A93" s="14">
        <v>46179.407118055555</v>
      </c>
      <c r="B93" s="15" t="s">
        <v>145</v>
      </c>
      <c r="C93" s="5">
        <v>4.0</v>
      </c>
      <c r="D93" s="5" t="s">
        <v>79</v>
      </c>
    </row>
    <row r="94" ht="15.75" customHeight="1">
      <c r="A94" s="14">
        <v>46179.40943287037</v>
      </c>
      <c r="B94" s="15" t="s">
        <v>146</v>
      </c>
      <c r="C94" s="5">
        <v>2.0</v>
      </c>
      <c r="D94" s="5" t="s">
        <v>79</v>
      </c>
    </row>
    <row r="95" ht="15.75" customHeight="1">
      <c r="A95" s="14">
        <v>46179.410891203705</v>
      </c>
      <c r="B95" s="15" t="s">
        <v>149</v>
      </c>
      <c r="C95" s="5">
        <v>1.0</v>
      </c>
      <c r="D95" s="5" t="s">
        <v>79</v>
      </c>
    </row>
    <row r="96" ht="15.75" customHeight="1">
      <c r="A96" s="14">
        <v>46179.41243055555</v>
      </c>
      <c r="B96" s="15" t="s">
        <v>152</v>
      </c>
      <c r="C96" s="5">
        <v>4.0</v>
      </c>
      <c r="D96" s="5" t="s">
        <v>79</v>
      </c>
    </row>
    <row r="97" ht="15.75" customHeight="1">
      <c r="A97" s="14">
        <v>46179.418032407404</v>
      </c>
      <c r="B97" s="15" t="s">
        <v>153</v>
      </c>
      <c r="C97" s="5">
        <v>6.0</v>
      </c>
      <c r="D97" s="5" t="s">
        <v>79</v>
      </c>
    </row>
    <row r="98" ht="15.75" customHeight="1">
      <c r="A98" s="14">
        <v>46179.420439814814</v>
      </c>
      <c r="B98" s="15" t="s">
        <v>157</v>
      </c>
      <c r="C98" s="5">
        <v>9.0</v>
      </c>
      <c r="D98" s="5" t="s">
        <v>79</v>
      </c>
    </row>
    <row r="99" ht="15.75" customHeight="1">
      <c r="A99" s="14">
        <v>46179.421851851854</v>
      </c>
      <c r="B99" s="15" t="s">
        <v>159</v>
      </c>
      <c r="C99" s="5">
        <v>2.0</v>
      </c>
      <c r="D99" s="5" t="s">
        <v>79</v>
      </c>
    </row>
    <row r="100" ht="15.75" customHeight="1">
      <c r="A100" s="14">
        <v>46179.42334490741</v>
      </c>
      <c r="B100" s="5" t="s">
        <v>161</v>
      </c>
      <c r="C100" s="5">
        <v>3.0</v>
      </c>
      <c r="D100" s="5" t="s">
        <v>79</v>
      </c>
    </row>
    <row r="101" ht="15.75" customHeight="1">
      <c r="A101" s="14">
        <v>46179.46</v>
      </c>
      <c r="B101" s="15" t="s">
        <v>162</v>
      </c>
      <c r="C101" s="5">
        <v>2.0</v>
      </c>
      <c r="D101" s="5" t="s">
        <v>79</v>
      </c>
    </row>
    <row r="102" ht="15.75" customHeight="1">
      <c r="A102" s="14">
        <v>46179.461168981485</v>
      </c>
      <c r="B102" s="15" t="s">
        <v>164</v>
      </c>
      <c r="C102" s="5">
        <v>1.0</v>
      </c>
      <c r="D102" s="5" t="s">
        <v>79</v>
      </c>
    </row>
    <row r="103" ht="15.75" customHeight="1">
      <c r="A103" s="14">
        <v>46179.46238425926</v>
      </c>
      <c r="B103" s="15" t="s">
        <v>165</v>
      </c>
      <c r="C103" s="5">
        <v>1.0</v>
      </c>
      <c r="D103" s="5" t="s">
        <v>79</v>
      </c>
    </row>
    <row r="104" ht="15.75" customHeight="1">
      <c r="A104" s="14">
        <v>46179.463587962964</v>
      </c>
      <c r="B104" s="15" t="s">
        <v>166</v>
      </c>
      <c r="C104" s="5">
        <v>2.0</v>
      </c>
      <c r="D104" s="5" t="s">
        <v>79</v>
      </c>
    </row>
    <row r="105" ht="15.75" customHeight="1">
      <c r="A105" s="14">
        <v>46179.46472222222</v>
      </c>
      <c r="B105" s="15" t="s">
        <v>167</v>
      </c>
      <c r="C105" s="5">
        <v>2.0</v>
      </c>
      <c r="D105" s="5" t="s">
        <v>79</v>
      </c>
    </row>
    <row r="106" ht="15.75" customHeight="1">
      <c r="A106" s="14">
        <v>46179.46582175926</v>
      </c>
      <c r="B106" s="15" t="s">
        <v>169</v>
      </c>
      <c r="C106" s="5">
        <v>2.0</v>
      </c>
      <c r="D106" s="5" t="s">
        <v>79</v>
      </c>
    </row>
    <row r="107" ht="15.75" customHeight="1">
      <c r="A107" s="14">
        <v>46179.470405092594</v>
      </c>
      <c r="B107" s="15" t="s">
        <v>147</v>
      </c>
      <c r="C107" s="5">
        <v>1.0</v>
      </c>
      <c r="D107" s="5" t="s">
        <v>79</v>
      </c>
    </row>
    <row r="108" ht="15.75" customHeight="1">
      <c r="A108" s="14">
        <v>46179.470717592594</v>
      </c>
      <c r="B108" s="15" t="s">
        <v>147</v>
      </c>
      <c r="C108" s="5">
        <v>1.0</v>
      </c>
      <c r="D108" s="5" t="s">
        <v>79</v>
      </c>
    </row>
    <row r="109" ht="15.75" customHeight="1">
      <c r="A109" s="14">
        <v>46179.47336805556</v>
      </c>
      <c r="B109" s="15" t="s">
        <v>175</v>
      </c>
      <c r="C109" s="5">
        <v>6.0</v>
      </c>
      <c r="D109" s="5" t="s">
        <v>79</v>
      </c>
    </row>
    <row r="110" ht="15.75" customHeight="1">
      <c r="A110" s="14">
        <v>46179.474965277775</v>
      </c>
      <c r="B110" s="15" t="s">
        <v>177</v>
      </c>
      <c r="C110" s="5">
        <v>10.0</v>
      </c>
      <c r="D110" s="5" t="s">
        <v>79</v>
      </c>
    </row>
    <row r="111" ht="15.75" customHeight="1">
      <c r="A111" s="14">
        <v>46181.4140162037</v>
      </c>
      <c r="B111" s="5" t="s">
        <v>87</v>
      </c>
      <c r="C111" s="5">
        <v>10.0</v>
      </c>
      <c r="D111" s="5" t="s">
        <v>79</v>
      </c>
    </row>
    <row r="112" ht="15.75" customHeight="1">
      <c r="A112" s="14">
        <v>46182.39160879629</v>
      </c>
      <c r="B112" s="15" t="s">
        <v>178</v>
      </c>
      <c r="C112" s="5">
        <v>4.0</v>
      </c>
      <c r="D112" s="5" t="s">
        <v>79</v>
      </c>
    </row>
    <row r="113" ht="15.75" customHeight="1">
      <c r="A113" s="14">
        <v>46182.39420138889</v>
      </c>
      <c r="B113" s="15" t="s">
        <v>180</v>
      </c>
      <c r="C113" s="5">
        <v>2.0</v>
      </c>
      <c r="D113" s="5" t="s">
        <v>79</v>
      </c>
    </row>
    <row r="114" ht="15.75" customHeight="1">
      <c r="A114" s="14">
        <v>46182.39637731481</v>
      </c>
      <c r="B114" s="15" t="s">
        <v>181</v>
      </c>
      <c r="C114" s="5">
        <v>5.0</v>
      </c>
      <c r="D114" s="5" t="s">
        <v>79</v>
      </c>
    </row>
    <row r="115" ht="15.75" customHeight="1">
      <c r="A115" s="14">
        <v>46182.397986111115</v>
      </c>
      <c r="B115" s="15" t="s">
        <v>182</v>
      </c>
      <c r="C115" s="5">
        <v>1.0</v>
      </c>
      <c r="D115" s="5" t="s">
        <v>79</v>
      </c>
    </row>
    <row r="116" ht="15.75" customHeight="1">
      <c r="A116" s="14">
        <v>46182.40126157407</v>
      </c>
      <c r="B116" s="15" t="s">
        <v>183</v>
      </c>
      <c r="C116" s="5">
        <v>1.0</v>
      </c>
      <c r="D116" s="5" t="s">
        <v>79</v>
      </c>
    </row>
    <row r="117" ht="15.75" customHeight="1">
      <c r="A117" s="14">
        <v>46182.402708333335</v>
      </c>
      <c r="B117" s="15" t="s">
        <v>185</v>
      </c>
      <c r="C117" s="5">
        <v>1.0</v>
      </c>
      <c r="D117" s="5" t="s">
        <v>79</v>
      </c>
    </row>
    <row r="118" ht="15.75" customHeight="1">
      <c r="A118" s="14">
        <v>46182.40534722222</v>
      </c>
      <c r="B118" s="15" t="s">
        <v>186</v>
      </c>
      <c r="C118" s="5">
        <v>5.0</v>
      </c>
      <c r="D118" s="5" t="s">
        <v>79</v>
      </c>
    </row>
    <row r="119" ht="15.75" customHeight="1">
      <c r="A119" s="14">
        <v>46182.40725694445</v>
      </c>
      <c r="B119" s="15" t="s">
        <v>187</v>
      </c>
      <c r="C119" s="5">
        <v>1.0</v>
      </c>
      <c r="D119" s="5" t="s">
        <v>79</v>
      </c>
    </row>
    <row r="120" ht="15.75" customHeight="1">
      <c r="A120" s="14">
        <v>46182.4084375</v>
      </c>
      <c r="B120" s="15" t="s">
        <v>188</v>
      </c>
      <c r="C120" s="5">
        <v>2.0</v>
      </c>
      <c r="D120" s="5" t="s">
        <v>79</v>
      </c>
    </row>
    <row r="121" ht="15.75" customHeight="1">
      <c r="A121" s="14">
        <v>46183.46885416667</v>
      </c>
      <c r="B121" s="15" t="s">
        <v>189</v>
      </c>
      <c r="C121" s="5">
        <v>20.0</v>
      </c>
      <c r="D121" s="5" t="s">
        <v>79</v>
      </c>
    </row>
    <row r="122" ht="15.75" customHeight="1">
      <c r="A122" s="14">
        <v>46184.36211805556</v>
      </c>
      <c r="B122" s="5" t="s">
        <v>154</v>
      </c>
      <c r="C122" s="5">
        <v>19.0</v>
      </c>
      <c r="D122" s="5" t="s">
        <v>79</v>
      </c>
    </row>
    <row r="123" ht="15.75" customHeight="1">
      <c r="A123" s="14">
        <v>46195.36283564815</v>
      </c>
      <c r="B123" s="15" t="s">
        <v>192</v>
      </c>
      <c r="C123" s="5">
        <v>22.0</v>
      </c>
      <c r="D123" s="5" t="s">
        <v>79</v>
      </c>
    </row>
    <row r="124" ht="15.75" customHeight="1">
      <c r="A124" s="14">
        <v>46198.44262731481</v>
      </c>
      <c r="B124" s="15" t="s">
        <v>194</v>
      </c>
      <c r="C124" s="5">
        <v>20.0</v>
      </c>
      <c r="D124" s="5" t="s">
        <v>79</v>
      </c>
    </row>
    <row r="125" ht="15.75" customHeight="1">
      <c r="A125" s="14">
        <v>46200.430868055555</v>
      </c>
      <c r="B125" s="5" t="s">
        <v>154</v>
      </c>
      <c r="C125" s="5">
        <v>20.0</v>
      </c>
      <c r="D125" s="5" t="s">
        <v>79</v>
      </c>
    </row>
    <row r="126" ht="15.75" customHeight="1">
      <c r="A126" s="14">
        <v>46200.4325</v>
      </c>
      <c r="B126" s="5" t="s">
        <v>154</v>
      </c>
      <c r="C126" s="5">
        <v>10.0</v>
      </c>
      <c r="D126" s="5" t="s">
        <v>79</v>
      </c>
    </row>
    <row r="127" ht="15.75" customHeight="1">
      <c r="A127" s="14">
        <v>46206.40770833333</v>
      </c>
      <c r="B127" s="5" t="s">
        <v>154</v>
      </c>
      <c r="C127" s="5">
        <v>14.0</v>
      </c>
      <c r="D127" s="5" t="s">
        <v>79</v>
      </c>
    </row>
    <row r="128" ht="15.75" customHeight="1">
      <c r="A128" s="14">
        <v>46242.388125</v>
      </c>
      <c r="B128" s="5" t="s">
        <v>154</v>
      </c>
      <c r="C128" s="5">
        <v>19.0</v>
      </c>
      <c r="D128" s="5" t="s">
        <v>79</v>
      </c>
    </row>
    <row r="129" ht="15.75" customHeight="1">
      <c r="A129" s="14">
        <v>46244.42396990741</v>
      </c>
      <c r="B129" s="5" t="s">
        <v>87</v>
      </c>
      <c r="C129" s="5">
        <v>2.0</v>
      </c>
      <c r="D129" s="5" t="s">
        <v>79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9.29"/>
    <col customWidth="1" min="3" max="6" width="14.43"/>
  </cols>
  <sheetData>
    <row r="1">
      <c r="A1" s="2" t="s">
        <v>2</v>
      </c>
      <c r="B1" s="2" t="s">
        <v>6</v>
      </c>
    </row>
    <row r="2">
      <c r="A2" s="2" t="s">
        <v>7</v>
      </c>
      <c r="B2" s="2" t="s">
        <v>8</v>
      </c>
    </row>
    <row r="3">
      <c r="A3" s="5" t="s">
        <v>9</v>
      </c>
      <c r="B3" s="5" t="s">
        <v>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8.0"/>
    <col customWidth="1" min="3" max="6" width="14.43"/>
  </cols>
  <sheetData>
    <row r="1">
      <c r="A1" s="9" t="s">
        <v>126</v>
      </c>
      <c r="B1" s="9" t="s">
        <v>131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16" t="s">
        <v>142</v>
      </c>
      <c r="B2" s="11" t="s">
        <v>79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>
      <c r="A3" s="11" t="s">
        <v>148</v>
      </c>
      <c r="B3" s="11" t="s">
        <v>150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>
      <c r="A4" s="11" t="s">
        <v>156</v>
      </c>
      <c r="B4" s="11" t="s">
        <v>82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6.43"/>
    <col customWidth="1" min="3" max="6" width="14.43"/>
  </cols>
  <sheetData>
    <row r="1">
      <c r="A1" s="2" t="s">
        <v>126</v>
      </c>
      <c r="B1" s="2" t="s">
        <v>211</v>
      </c>
      <c r="C1" s="2" t="s">
        <v>212</v>
      </c>
    </row>
    <row r="2">
      <c r="A2" s="2" t="s">
        <v>214</v>
      </c>
      <c r="B2" s="2" t="s">
        <v>215</v>
      </c>
      <c r="C2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0.29"/>
    <col customWidth="1" min="3" max="3" width="15.71"/>
    <col customWidth="1" min="4" max="4" width="13.86"/>
    <col customWidth="1" min="5" max="6" width="14.43"/>
  </cols>
  <sheetData>
    <row r="1">
      <c r="A1" s="2" t="s">
        <v>222</v>
      </c>
    </row>
    <row r="2">
      <c r="A2" s="2" t="s">
        <v>223</v>
      </c>
      <c r="B2" s="2" t="str">
        <f>text(today(),"dd/mm/yyyy")</f>
        <v>03/09/2026</v>
      </c>
    </row>
    <row r="3">
      <c r="A3" s="2" t="s">
        <v>226</v>
      </c>
      <c r="B3" s="2">
        <f>COUNTIF(Product!I:I,A3)</f>
        <v>56</v>
      </c>
    </row>
    <row r="4">
      <c r="A4" s="2" t="s">
        <v>228</v>
      </c>
      <c r="B4" s="2">
        <f>COUNTIF(Product!I:I,A4)</f>
        <v>11</v>
      </c>
    </row>
    <row r="5">
      <c r="A5" s="2" t="s">
        <v>230</v>
      </c>
      <c r="B5" s="2">
        <f>COUNTIF(Product!I:I,A5)</f>
        <v>14</v>
      </c>
    </row>
    <row r="6">
      <c r="A6" s="2" t="s">
        <v>231</v>
      </c>
      <c r="B6" s="2">
        <f>COUNTIF(Product!I:I,A6)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